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y212\Documents\Work\"/>
    </mc:Choice>
  </mc:AlternateContent>
  <xr:revisionPtr revIDLastSave="0" documentId="13_ncr:1_{71EB5A64-6017-4F18-9458-EAB9C46A82E3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📊 Dashboard Summary" sheetId="1" r:id="rId1"/>
    <sheet name="📅 30-Day Tracker" sheetId="2" r:id="rId2"/>
    <sheet name="📆 Weekly Overview" sheetId="3" r:id="rId3"/>
    <sheet name="📚 Learning Plan" sheetId="4" r:id="rId4"/>
    <sheet name="🛠 Tech Stack" sheetId="5" r:id="rId5"/>
    <sheet name="🗄 DB Schema" sheetId="6" r:id="rId6"/>
    <sheet name="🔌 API Reference" sheetId="7" r:id="rId7"/>
    <sheet name="🧪 Testing Checklist" sheetId="8" r:id="rId8"/>
    <sheet name="🚀 Deployment" sheetId="9" r:id="rId9"/>
    <sheet name="⏱ Time Log" sheetId="10" r:id="rId10"/>
    <sheet name="⚠️ Risk &amp; Fallback" sheetId="11" r:id="rId11"/>
    <sheet name="🔮 Deferred Features" sheetId="12" r:id="rId12"/>
  </sheets>
  <definedNames>
    <definedName name="_xlnm._FilterDatabase" localSheetId="1" hidden="1">'📅 30-Day Tracker'!$A$2:$R$35</definedName>
    <definedName name="_xlnm._FilterDatabase" localSheetId="6" hidden="1">'🔌 API Reference'!$A$2:$I$39</definedName>
    <definedName name="_xlnm._FilterDatabase" localSheetId="11" hidden="1">'🔮 Deferred Features'!$A$2:$G$24</definedName>
    <definedName name="_xlnm._FilterDatabase" localSheetId="8" hidden="1">'🚀 Deployment'!$A$2:$G$29</definedName>
    <definedName name="_xlnm._FilterDatabase" localSheetId="4" hidden="1">'🛠 Tech Stack'!$A$2:$G$31</definedName>
    <definedName name="_xlnm._FilterDatabase" localSheetId="7" hidden="1">'🧪 Testing Checklist'!$A$2:$H$38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10" l="1"/>
  <c r="D33" i="10"/>
  <c r="C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L10" i="1" s="1"/>
  <c r="F12" i="10"/>
  <c r="F11" i="10"/>
  <c r="F10" i="10"/>
  <c r="F9" i="10"/>
  <c r="F8" i="10"/>
  <c r="F7" i="10"/>
  <c r="F6" i="10"/>
  <c r="F5" i="10"/>
  <c r="F4" i="10"/>
  <c r="F3" i="10"/>
  <c r="F33" i="10" s="1"/>
  <c r="H35" i="2"/>
  <c r="F35" i="2"/>
  <c r="L9" i="1"/>
  <c r="G9" i="1"/>
  <c r="F9" i="1"/>
  <c r="C9" i="1"/>
  <c r="L8" i="1"/>
  <c r="G8" i="1"/>
  <c r="F8" i="1"/>
  <c r="C8" i="1"/>
  <c r="L7" i="1"/>
  <c r="G7" i="1"/>
  <c r="F7" i="1"/>
  <c r="C7" i="1"/>
  <c r="L6" i="1"/>
  <c r="G6" i="1"/>
  <c r="F6" i="1"/>
  <c r="C6" i="1"/>
  <c r="L5" i="1"/>
  <c r="C5" i="1"/>
  <c r="C10" i="1" l="1"/>
</calcChain>
</file>

<file path=xl/sharedStrings.xml><?xml version="1.0" encoding="utf-8"?>
<sst xmlns="http://schemas.openxmlformats.org/spreadsheetml/2006/main" count="1838" uniqueCount="1014">
  <si>
    <t>🚀 SmartShelf AI — 30-Day MVP Dashboard</t>
  </si>
  <si>
    <t>Portfolio Project  |  Next.js · NestJS · PostgreSQL · FastAPI · XGBoost  |  Target: 30 Days</t>
  </si>
  <si>
    <t>📋  PROJECT METRICS</t>
  </si>
  <si>
    <t>📆  WEEKLY PROGRESS</t>
  </si>
  <si>
    <t>⏱  HOURS TRACKER</t>
  </si>
  <si>
    <t>📌 Total Tasks</t>
  </si>
  <si>
    <t>Week</t>
  </si>
  <si>
    <t>Done</t>
  </si>
  <si>
    <t>Total</t>
  </si>
  <si>
    <t>📚 Planned Learn Hrs</t>
  </si>
  <si>
    <t>✅ Completed Tasks</t>
  </si>
  <si>
    <t>Week 1</t>
  </si>
  <si>
    <t>🔨 Planned Build Hrs</t>
  </si>
  <si>
    <t>🔄 In Progress</t>
  </si>
  <si>
    <t>Week 2</t>
  </si>
  <si>
    <t>📚 Actual Learn Hrs</t>
  </si>
  <si>
    <t>⏳ To Do</t>
  </si>
  <si>
    <t>Week 3</t>
  </si>
  <si>
    <t>🔨 Actual Build Hrs</t>
  </si>
  <si>
    <t>🚫 Blocked</t>
  </si>
  <si>
    <t>Week 4</t>
  </si>
  <si>
    <t>⚙️ Debug/Commit Hrs</t>
  </si>
  <si>
    <t>📊 Completion %</t>
  </si>
  <si>
    <t>🕐 Total Project Hrs</t>
  </si>
  <si>
    <t>ℹ️  Charts auto-refresh when tracker data is updated. Use filters on '📅 30-Day Tracker' to drill down by module, priority, or week.</t>
  </si>
  <si>
    <t>📅  SmartShelf AI — Master 30-Day Task Tracker</t>
  </si>
  <si>
    <t>ID</t>
  </si>
  <si>
    <t>Day</t>
  </si>
  <si>
    <t>Date</t>
  </si>
  <si>
    <t>Module</t>
  </si>
  <si>
    <t>Learning Topic</t>
  </si>
  <si>
    <t>Learn
Hrs</t>
  </si>
  <si>
    <t>Build Task</t>
  </si>
  <si>
    <t>Build
Hrs</t>
  </si>
  <si>
    <t>Subtasks</t>
  </si>
  <si>
    <t>Deliverable</t>
  </si>
  <si>
    <t>Acceptance Criteria</t>
  </si>
  <si>
    <t>Dependency</t>
  </si>
  <si>
    <t>Testing
Reqd</t>
  </si>
  <si>
    <t>Priority</t>
  </si>
  <si>
    <t>Risk
Level</t>
  </si>
  <si>
    <t>Status</t>
  </si>
  <si>
    <t>Blocker</t>
  </si>
  <si>
    <t>Notes</t>
  </si>
  <si>
    <t>Setup &amp; DevOps</t>
  </si>
  <si>
    <t>Project structure, Git repo, Docker Compose, env setup</t>
  </si>
  <si>
    <t>Init Next.js + NestJS mono-repo, Prisma setup, Neon DB connection, GitHub repo</t>
  </si>
  <si>
    <t>Create Next.js app, Create NestJS app, docker-compose.yml, .env files, Prisma init</t>
  </si>
  <si>
    <t>Mono-repo running locally; DB connection OK</t>
  </si>
  <si>
    <t>Repo accessible, npx prisma db pull works</t>
  </si>
  <si>
    <t>None</t>
  </si>
  <si>
    <t>No</t>
  </si>
  <si>
    <t>High</t>
  </si>
  <si>
    <t>Medium</t>
  </si>
  <si>
    <t>To Do</t>
  </si>
  <si>
    <t>Next.js App Router folder structure</t>
  </si>
  <si>
    <t>Create base folder structure: /app, /components, /lib, /hooks</t>
  </si>
  <si>
    <t>Create layout.tsx, globals.css, Tailwind config</t>
  </si>
  <si>
    <t>Tailwind + ShadCN rendering in browser</t>
  </si>
  <si>
    <t>npx shadcn@latest init runs clean</t>
  </si>
  <si>
    <t>Task 1</t>
  </si>
  <si>
    <t>Low</t>
  </si>
  <si>
    <t>Auth</t>
  </si>
  <si>
    <t>JWT, Guards, RBAC in NestJS</t>
  </si>
  <si>
    <t>NestJS AuthModule: register, login, JWT strategy, roles guard</t>
  </si>
  <si>
    <t>auth.module.ts, jwt.strategy.ts, roles.guard.ts, auth.controller.ts, register/login DTOs</t>
  </si>
  <si>
    <t>Register + Login APIs returning JWT</t>
  </si>
  <si>
    <t>POST /auth/register → 201, POST /auth/login → 200 + token</t>
  </si>
  <si>
    <t>Yes</t>
  </si>
  <si>
    <t>Prisma User schema</t>
  </si>
  <si>
    <t>User + Role tables in Prisma schema, run migration</t>
  </si>
  <si>
    <t>schema.prisma: users table, run npx prisma migrate dev</t>
  </si>
  <si>
    <t>Users table in DB</t>
  </si>
  <si>
    <t>DB has users table, roles column</t>
  </si>
  <si>
    <t>React Hook Form + Zod validation</t>
  </si>
  <si>
    <t>Login + Register pages in Next.js with RHF + Zod, JWT stored in httpOnly cookie or localStorage</t>
  </si>
  <si>
    <t>login/page.tsx, register/page.tsx, authSchema.ts, useAuth hook, API client</t>
  </si>
  <si>
    <t>Login flow working end-to-end</t>
  </si>
  <si>
    <t>User can register, login, token stored, protected route redirects</t>
  </si>
  <si>
    <t>Task 3</t>
  </si>
  <si>
    <t>Role-Based Access Control</t>
  </si>
  <si>
    <t>Admin vs Staff role UI, protect routes and API endpoints</t>
  </si>
  <si>
    <t>middleware.ts for route protection, RolesGuard on NestJS controllers, admin-only pages</t>
  </si>
  <si>
    <t>Admin sees all menus, Staff sees limited menus</t>
  </si>
  <si>
    <t>Admin can access /admin, Staff gets 403 on admin routes</t>
  </si>
  <si>
    <t>Products</t>
  </si>
  <si>
    <t>Prisma schema — categories, products</t>
  </si>
  <si>
    <t>NestJS CategoriesModule and ProductsModule: CRUD APIs</t>
  </si>
  <si>
    <t>categories table, products table in schema.prisma, migrate, category CRUD endpoints</t>
  </si>
  <si>
    <t>GET/POST /categories, GET/POST/PUT/DELETE /products work</t>
  </si>
  <si>
    <t>All 4 CRUD operations return correct status codes</t>
  </si>
  <si>
    <t>Task 4</t>
  </si>
  <si>
    <t>ShadCN table, forms, dialogs</t>
  </si>
  <si>
    <t>Product list page, add/edit dialog with RHF+Zod, category filter</t>
  </si>
  <si>
    <t>products/page.tsx, ProductTable, AddProductDialog, EditProductDialog</t>
  </si>
  <si>
    <t>Products list renders, add/edit/delete from UI works</t>
  </si>
  <si>
    <t>Product count updates on add, edit reflects in table</t>
  </si>
  <si>
    <t>Task 7</t>
  </si>
  <si>
    <t>Buffer/review day</t>
  </si>
  <si>
    <t>Fix bugs, write unit tests for auth and products, review Week 1</t>
  </si>
  <si>
    <t>jest unit tests for AuthService, ProductsService</t>
  </si>
  <si>
    <t>Passing unit tests</t>
  </si>
  <si>
    <t>Jest reports 0 failures for auth + products</t>
  </si>
  <si>
    <t>Tasks 3-8</t>
  </si>
  <si>
    <t>Vendors</t>
  </si>
  <si>
    <t>Prisma vendors table, NestJS VendorsModule</t>
  </si>
  <si>
    <t>Vendor CRUD APIs, vendor list + add/edit UI pages</t>
  </si>
  <si>
    <t>vendors table, VendorsModule, VendorsController, VendorService</t>
  </si>
  <si>
    <t>GET/POST/PUT/DELETE /vendors work</t>
  </si>
  <si>
    <t>Vendor appears in list after add</t>
  </si>
  <si>
    <t>Purchases</t>
  </si>
  <si>
    <t>Purchase orders schema + API</t>
  </si>
  <si>
    <t>NestJS PurchasesModule: create PO, auto-increment stock via stock_movements</t>
  </si>
  <si>
    <t>purchase_orders, purchase_order_items, stock_movements tables; PurchasesController</t>
  </si>
  <si>
    <t>POST /purchases creates PO and increments product stock</t>
  </si>
  <si>
    <t>Stock quantity increases after purchase</t>
  </si>
  <si>
    <t>Task 10</t>
  </si>
  <si>
    <t>Purchase entry UI</t>
  </si>
  <si>
    <t>Purchase entry form: select vendor, add line items, submit</t>
  </si>
  <si>
    <t>purchases/new/page.tsx, PurchaseForm, VendorSelect, LineItems component</t>
  </si>
  <si>
    <t>User can create a purchase bill from UI</t>
  </si>
  <si>
    <t>Stock quantity updates visible on product page</t>
  </si>
  <si>
    <t>Task 11</t>
  </si>
  <si>
    <t>Sales</t>
  </si>
  <si>
    <t>Sales/Billing schema + API</t>
  </si>
  <si>
    <t>NestJS SalesModule: create sale, auto-decrement stock, block if insufficient</t>
  </si>
  <si>
    <t>sales, sale_items tables; SalesController with stock check</t>
  </si>
  <si>
    <t>POST /sales creates sale and decrements stock</t>
  </si>
  <si>
    <t>Stock decreases; returns 400 if stock insufficient</t>
  </si>
  <si>
    <t>Task 12</t>
  </si>
  <si>
    <t>Sales billing UI</t>
  </si>
  <si>
    <t>Sales bill UI: product search, quantity, auto-total, submit</t>
  </si>
  <si>
    <t>sales/new/page.tsx, BillingForm, ProductSearch, BillSummary</t>
  </si>
  <si>
    <t>User can create sale from UI</t>
  </si>
  <si>
    <t>Bill total correct, stock decreases</t>
  </si>
  <si>
    <t>Task 13</t>
  </si>
  <si>
    <t>Alerts</t>
  </si>
  <si>
    <t>Low-stock + expiry alert logic</t>
  </si>
  <si>
    <t>Alert API: query products below threshold and near expiry; notification bar in UI</t>
  </si>
  <si>
    <t>AlertsController, alert queries in ProductsService; AlertBanner component</t>
  </si>
  <si>
    <t>Alert shows when stock &lt; threshold or expiry &lt; 7 days</t>
  </si>
  <si>
    <t>Low-stock banner appears; expiry badge on product</t>
  </si>
  <si>
    <t>Inventory</t>
  </si>
  <si>
    <t>product_batches for expiry tracking</t>
  </si>
  <si>
    <t>Batch tracking: each purchase creates a batch with expiry_date</t>
  </si>
  <si>
    <t>product_batches table, batch expiry logic in PurchasesService, FEFO stock deduction</t>
  </si>
  <si>
    <t>Expiry dates stored per batch</t>
  </si>
  <si>
    <t>Batch expiry visible in product detail</t>
  </si>
  <si>
    <t>Dashboard</t>
  </si>
  <si>
    <t>Recharts, NestJS dashboard API</t>
  </si>
  <si>
    <t>Dashboard API: total sales, revenue, low-stock count, top products; Next.js dashboard page</t>
  </si>
  <si>
    <t>DashboardController, dashboard aggregation queries; dashboard/page.tsx, metric cards</t>
  </si>
  <si>
    <t>Dashboard cards show real data</t>
  </si>
  <si>
    <t>Revenue card matches sum of sales</t>
  </si>
  <si>
    <t>Recharts charts: bar + line</t>
  </si>
  <si>
    <t>Weekly sales trend (line chart), top 5 products (bar chart) using Recharts</t>
  </si>
  <si>
    <t>SalesTrendChart.tsx, TopProductsChart.tsx</t>
  </si>
  <si>
    <t>Both charts render with real data</t>
  </si>
  <si>
    <t>Chart X-axis = dates, Y-axis = revenue</t>
  </si>
  <si>
    <t>Task 17</t>
  </si>
  <si>
    <t>Reports</t>
  </si>
  <si>
    <t>CSV export API + download button</t>
  </si>
  <si>
    <t>NestJS ReportsModule: generate CSV for sales, inventory; Next.js download button</t>
  </si>
  <si>
    <t>ReportsController, csv-writer or plain string CSV; ReportPage download button</t>
  </si>
  <si>
    <t>CSV downloads with correct data</t>
  </si>
  <si>
    <t>Opened CSV has headers + correct rows</t>
  </si>
  <si>
    <t>ML Service</t>
  </si>
  <si>
    <t>FastAPI setup + data preprocessing</t>
  </si>
  <si>
    <t>FastAPI app, /health endpoint, load Online Retail dataset, feature engineering with Pandas</t>
  </si>
  <si>
    <t>main.py, preprocess.py, requirements.txt, Dockerfile for ML service</t>
  </si>
  <si>
    <t>FastAPI /health returns 200</t>
  </si>
  <si>
    <t>curl /health → {status: ok}</t>
  </si>
  <si>
    <t>XGBoost model train + save</t>
  </si>
  <si>
    <t>Train XGBoost regressor on synthetic/retail dataset, save with joblib, /train endpoint</t>
  </si>
  <si>
    <t>train.py, model.pkl, /train POST endpoint</t>
  </si>
  <si>
    <t>Model trains and saves</t>
  </si>
  <si>
    <t>model.pkl exists after /train call</t>
  </si>
  <si>
    <t>Task 20</t>
  </si>
  <si>
    <t>Forecast API + NestJS integration</t>
  </si>
  <si>
    <t>FastAPI /forecast endpoint; NestJS ForecastModule calls ML service; UI forecast card</t>
  </si>
  <si>
    <t>forecast.py, /forecast endpoint; ForecastController in NestJS; ForecastCard.tsx</t>
  </si>
  <si>
    <t>NestJS calls ML service; forecast appears in UI</t>
  </si>
  <si>
    <t>POST /forecast returns predicted qty for next 7 days</t>
  </si>
  <si>
    <t>Task 21</t>
  </si>
  <si>
    <t>Fallback rule-based forecast</t>
  </si>
  <si>
    <t>If ML service down: use 7-day rolling average as fallback in NestJS</t>
  </si>
  <si>
    <t>fallback-forecast.service.ts using avg of last 7 days stock movements</t>
  </si>
  <si>
    <t>Fallback forecast works when ML is off</t>
  </si>
  <si>
    <t>Disable ML service → fallback values appear</t>
  </si>
  <si>
    <t>Task 22</t>
  </si>
  <si>
    <t>Testing</t>
  </si>
  <si>
    <t>Jest unit tests</t>
  </si>
  <si>
    <t>Unit tests for AuthService, ProductsService, SalesService, ForecastService</t>
  </si>
  <si>
    <t>*.spec.ts for each service; npm run test</t>
  </si>
  <si>
    <t>All unit tests pass</t>
  </si>
  <si>
    <t>jest --coverage shows 70%+ on services</t>
  </si>
  <si>
    <t>Task 9</t>
  </si>
  <si>
    <t>Supertest API integration tests</t>
  </si>
  <si>
    <t>API tests for auth, products, purchases, sales endpoints with Supertest</t>
  </si>
  <si>
    <t>app.e2e-spec.ts or separate spec files; npm run test:e2e</t>
  </si>
  <si>
    <t>All API tests pass</t>
  </si>
  <si>
    <t>200/201 on valid requests, 400/401 on invalid</t>
  </si>
  <si>
    <t>Task 24</t>
  </si>
  <si>
    <t>Playwright E2E tests</t>
  </si>
  <si>
    <t>E2E: register, login, add product, create sale, verify stock, check alerts</t>
  </si>
  <si>
    <t>tests/e2e/*.spec.ts with Playwright; npx playwright test</t>
  </si>
  <si>
    <t>All 8 E2E test scenarios pass</t>
  </si>
  <si>
    <t>Playwright report shows 0 failures</t>
  </si>
  <si>
    <t>Task 25</t>
  </si>
  <si>
    <t>Deployment</t>
  </si>
  <si>
    <t>Neon DB + backend deploy on Render/Railway</t>
  </si>
  <si>
    <t>Deploy NestJS to Render/Railway with Neon PostgreSQL, set env vars, run migrations</t>
  </si>
  <si>
    <t>Render/Railway service config, DATABASE_URL pointing to Neon, prisma migrate deploy</t>
  </si>
  <si>
    <t>Backend live at public URL</t>
  </si>
  <si>
    <t>GET /health returns 200 on production URL</t>
  </si>
  <si>
    <t>ML Service Docker deploy on Render</t>
  </si>
  <si>
    <t>Dockerize FastAPI ML service, push to Render as Docker service</t>
  </si>
  <si>
    <t>Dockerfile for ML, render.yaml or manual setup, ML_SERVICE_URL env in NestJS</t>
  </si>
  <si>
    <t>ML service live at public URL</t>
  </si>
  <si>
    <t>POST /forecast returns data from production URL</t>
  </si>
  <si>
    <t>Task 27</t>
  </si>
  <si>
    <t>Frontend deploy on Vercel</t>
  </si>
  <si>
    <t>Deploy Next.js to Vercel, set NEXT_PUBLIC_API_URL, test all pages</t>
  </si>
  <si>
    <t>Vercel project config, env vars, production build passes</t>
  </si>
  <si>
    <t>Frontend live at vercel.app URL</t>
  </si>
  <si>
    <t>All pages load without console errors</t>
  </si>
  <si>
    <t>Task 28</t>
  </si>
  <si>
    <t>Portfolio</t>
  </si>
  <si>
    <t>README, screenshots, seed data</t>
  </si>
  <si>
    <t>Write professional README.md, add screenshots, create seed script with demo data</t>
  </si>
  <si>
    <t>README.md with badges, screenshots/, seed.ts prisma seeder, demo credentials</t>
  </si>
  <si>
    <t>README complete with screenshots</t>
  </si>
  <si>
    <t>GitHub README renders correctly with images</t>
  </si>
  <si>
    <t>Task 29</t>
  </si>
  <si>
    <t>Demo video recording</t>
  </si>
  <si>
    <t>Record 3-5 min Loom/OBS demo video: login → products → sale → dashboard → forecast</t>
  </si>
  <si>
    <t>demo.mp4 or Loom link in README</t>
  </si>
  <si>
    <t>Demo video uploaded and linked</t>
  </si>
  <si>
    <t>Link in README opens video</t>
  </si>
  <si>
    <t>Task 30</t>
  </si>
  <si>
    <t>Final review + buffer</t>
  </si>
  <si>
    <t>Final bug fixes, update portfolio site, LinkedIn post, submit to portfolio</t>
  </si>
  <si>
    <t>All issues closed on GitHub, portfolio site updated</t>
  </si>
  <si>
    <t>All deployment URLs live and working</t>
  </si>
  <si>
    <t>Live URLs accessible; no critical bugs</t>
  </si>
  <si>
    <t>All</t>
  </si>
  <si>
    <t>TOTAL</t>
  </si>
  <si>
    <t>📆  SmartShelf AI — Weekly Milestones &amp; Hours Overview</t>
  </si>
  <si>
    <t xml:space="preserve">  Week 1: Foundation + Auth + Products  |  Days 1–7 (Jul 1–7)</t>
  </si>
  <si>
    <t>Learn Hrs</t>
  </si>
  <si>
    <t>Build Hrs</t>
  </si>
  <si>
    <t>Total Hrs</t>
  </si>
  <si>
    <t>Learn + Build / Day</t>
  </si>
  <si>
    <t>Milestone</t>
  </si>
  <si>
    <t>Auth system + product management live</t>
  </si>
  <si>
    <t>KEY DELIVERABLES &amp; MILESTONE CHECKLIST</t>
  </si>
  <si>
    <t xml:space="preserve">  ✅ Mono-repo with Next.js + NestJS running locally</t>
  </si>
  <si>
    <t xml:space="preserve">  ✅ Docker Compose + Neon PostgreSQL connection</t>
  </si>
  <si>
    <t xml:space="preserve">  ✅ JWT register/login APIs with guards</t>
  </si>
  <si>
    <t xml:space="preserve">  ✅ RBAC: Admin vs Staff roles working</t>
  </si>
  <si>
    <t xml:space="preserve">  ✅ Product + Category CRUD (API + UI)</t>
  </si>
  <si>
    <t xml:space="preserve">  ✅ Passing unit tests for auth and products</t>
  </si>
  <si>
    <t xml:space="preserve">  Week 2: Inventory Core — Vendors, Purchases, Sales, Alerts  |  Days 8–14 (Jul 8–14)</t>
  </si>
  <si>
    <t>Full inventory in/out cycle working end-to-end</t>
  </si>
  <si>
    <t xml:space="preserve">  ✅ Vendor CRUD (API + UI)</t>
  </si>
  <si>
    <t xml:space="preserve">  ✅ Purchase entry: creates PO + increments stock</t>
  </si>
  <si>
    <t xml:space="preserve">  ✅ Sales billing: creates sale + decrements stock</t>
  </si>
  <si>
    <t xml:space="preserve">  ✅ Low-stock alert banner</t>
  </si>
  <si>
    <t xml:space="preserve">  ✅ Expiry alert with batch tracking</t>
  </si>
  <si>
    <t xml:space="preserve">  ✅ Stock movement audit trail</t>
  </si>
  <si>
    <t xml:space="preserve">  Week 3: Dashboard + Reports + ML Forecast Service  |  Days 15–21 (Jul 15–21)</t>
  </si>
  <si>
    <t>End-to-end data flow from DB → ML → UI</t>
  </si>
  <si>
    <t xml:space="preserve">  ✅ Dashboard cards (revenue, sales, low-stock count)</t>
  </si>
  <si>
    <t xml:space="preserve">  ✅ Recharts: weekly sales trend + top products chart</t>
  </si>
  <si>
    <t xml:space="preserve">  ✅ CSV report download</t>
  </si>
  <si>
    <t xml:space="preserve">  ✅ FastAPI ML service running</t>
  </si>
  <si>
    <t xml:space="preserve">  ✅ XGBoost model trained and saved</t>
  </si>
  <si>
    <t xml:space="preserve">  ✅ Forecast API integrated in UI + rule-based fallback</t>
  </si>
  <si>
    <t xml:space="preserve">  Week 4: Testing + Deployment + Portfolio Polish  |  Days 22–30 (Jul 22–30)</t>
  </si>
  <si>
    <t>Fully deployed, tested, portfolio-ready MVP</t>
  </si>
  <si>
    <t xml:space="preserve">  ✅ Jest unit tests (70%+ coverage on services)</t>
  </si>
  <si>
    <t xml:space="preserve">  ✅ Supertest API integration tests</t>
  </si>
  <si>
    <t xml:space="preserve">  ✅ Playwright E2E tests (8 scenarios)</t>
  </si>
  <si>
    <t xml:space="preserve">  ✅ NestJS live on Render/Railway + Neon DB</t>
  </si>
  <si>
    <t xml:space="preserve">  ✅ FastAPI ML service on Render Docker</t>
  </si>
  <si>
    <t xml:space="preserve">  ✅ Next.js live on Vercel</t>
  </si>
  <si>
    <t xml:space="preserve">  ✅ README + screenshots + demo video</t>
  </si>
  <si>
    <t>📚  SmartShelf AI — Structured Learning Plan</t>
  </si>
  <si>
    <t>Tech Topic</t>
  </si>
  <si>
    <t>Focus Area</t>
  </si>
  <si>
    <t>Resource / Official Docs</t>
  </si>
  <si>
    <t>Est. Hrs</t>
  </si>
  <si>
    <t>Completed?</t>
  </si>
  <si>
    <t>TypeScript Fundamentals</t>
  </si>
  <si>
    <t>Types, interfaces, generics, utility types</t>
  </si>
  <si>
    <t>https://www.typescriptlang.org/docs/</t>
  </si>
  <si>
    <t>Project Structure</t>
  </si>
  <si>
    <t>Next.js App Router, NestJS modular arch</t>
  </si>
  <si>
    <t>https://nextjs.org/docs/app</t>
  </si>
  <si>
    <t>NestJS Core</t>
  </si>
  <si>
    <t>Modules, Controllers, Services, DI pattern</t>
  </si>
  <si>
    <t>https://docs.nestjs.com/</t>
  </si>
  <si>
    <t>JWT Authentication</t>
  </si>
  <si>
    <t>Access tokens, refresh tokens, guards</t>
  </si>
  <si>
    <t>https://docs.nestjs.com/security/authentication</t>
  </si>
  <si>
    <t>React Hook Form</t>
  </si>
  <si>
    <t>useForm, Controller, FormProvider</t>
  </si>
  <si>
    <t>https://react-hook-form.com/docs</t>
  </si>
  <si>
    <t>Zod Validation</t>
  </si>
  <si>
    <t>Schema definition, .parse, .safeParse</t>
  </si>
  <si>
    <t>https://zod.dev/</t>
  </si>
  <si>
    <t>RBAC Patterns</t>
  </si>
  <si>
    <t>Roles, Permissions, Guards in NestJS</t>
  </si>
  <si>
    <t>https://docs.nestjs.com/guards</t>
  </si>
  <si>
    <t>Prisma ORM</t>
  </si>
  <si>
    <t>Schema, relations, migrations, queries</t>
  </si>
  <si>
    <t>https://www.prisma.io/docs</t>
  </si>
  <si>
    <t>PostgreSQL Relations</t>
  </si>
  <si>
    <t>FK, joins, indexes, EXPLAIN ANALYZE</t>
  </si>
  <si>
    <t>https://www.postgresql.org/docs/</t>
  </si>
  <si>
    <t>ShadCN UI</t>
  </si>
  <si>
    <t>Components: Table, Dialog, Form, Badge</t>
  </si>
  <si>
    <t>https://ui.shadcn.com/docs</t>
  </si>
  <si>
    <t>Tailwind CSS</t>
  </si>
  <si>
    <t>Responsive utilities, dark mode</t>
  </si>
  <si>
    <t>https://tailwindcss.com/docs</t>
  </si>
  <si>
    <t>Prisma Relations</t>
  </si>
  <si>
    <t>One-to-many, many-to-many patterns</t>
  </si>
  <si>
    <t>https://www.prisma.io/docs/orm/prisma-schema/data-model/relations</t>
  </si>
  <si>
    <t>Stock Movement Logic</t>
  </si>
  <si>
    <t>FIFO/FEFO batch deduction patterns</t>
  </si>
  <si>
    <t>https://docs.nestjs.com/techniques/database</t>
  </si>
  <si>
    <t>NestJS Pipes</t>
  </si>
  <si>
    <t>ValidationPipe, custom pipes, DTOs</t>
  </si>
  <si>
    <t>https://docs.nestjs.com/pipes</t>
  </si>
  <si>
    <t>Alert Patterns</t>
  </si>
  <si>
    <t>Scheduled tasks, Cron in NestJS</t>
  </si>
  <si>
    <t>https://docs.nestjs.com/techniques/task-scheduling</t>
  </si>
  <si>
    <t>Recharts</t>
  </si>
  <si>
    <t>LineChart, BarChart, ResponsiveContainer</t>
  </si>
  <si>
    <t>https://recharts.org/en-US/api</t>
  </si>
  <si>
    <t>NestJS Aggregation</t>
  </si>
  <si>
    <t>GroupBy, sum, count with Prisma</t>
  </si>
  <si>
    <t>https://www.prisma.io/docs/orm/prisma-client/queries/aggregation-grouping-summarizing</t>
  </si>
  <si>
    <t>FastAPI Basics</t>
  </si>
  <si>
    <t>Routes, Pydantic models, async endpoints</t>
  </si>
  <si>
    <t>https://fastapi.tiangolo.com/</t>
  </si>
  <si>
    <t>Pandas Feature Engineering</t>
  </si>
  <si>
    <t>Lag features, rolling mean, date features</t>
  </si>
  <si>
    <t>https://pandas.pydata.org/docs/user_guide/</t>
  </si>
  <si>
    <t>XGBoost Regression</t>
  </si>
  <si>
    <t>DMatrix, XGBRegressor, hyperparams</t>
  </si>
  <si>
    <t>https://xgboost.readthedocs.io/</t>
  </si>
  <si>
    <t>joblib Model Persistence</t>
  </si>
  <si>
    <t>dump, load, pipeline saving</t>
  </si>
  <si>
    <t>https://joblib.readthedocs.io/</t>
  </si>
  <si>
    <t>Online Retail Dataset</t>
  </si>
  <si>
    <t>UCI dataset structure, preprocessing steps</t>
  </si>
  <si>
    <t>https://archive.ics.uci.edu/dataset/352/online+retail</t>
  </si>
  <si>
    <t>Jest Testing</t>
  </si>
  <si>
    <t>describe, it, expect, mocks, spies</t>
  </si>
  <si>
    <t>https://jestjs.io/docs/getting-started</t>
  </si>
  <si>
    <t>Supertest API Testing</t>
  </si>
  <si>
    <t>HTTP assertions with NestJS test module</t>
  </si>
  <si>
    <t>https://docs.nestjs.com/fundamentals/testing</t>
  </si>
  <si>
    <t>Playwright E2E</t>
  </si>
  <si>
    <t>page.goto, fill, click, expect</t>
  </si>
  <si>
    <t>https://playwright.dev/docs/intro</t>
  </si>
  <si>
    <t>Render/Railway Deployment</t>
  </si>
  <si>
    <t>Service config, env vars, auto-deploy</t>
  </si>
  <si>
    <t>https://render.com/docs</t>
  </si>
  <si>
    <t>Docker for ML</t>
  </si>
  <si>
    <t>Dockerfile, multi-stage, render docker</t>
  </si>
  <si>
    <t>https://docs.docker.com/get-started/</t>
  </si>
  <si>
    <t>Vercel Deployment</t>
  </si>
  <si>
    <t>Project settings, env vars, preview URLs</t>
  </si>
  <si>
    <t>https://vercel.com/docs</t>
  </si>
  <si>
    <t>🛠  SmartShelf AI — Tech Stack &amp; Official Documentation</t>
  </si>
  <si>
    <t>Layer</t>
  </si>
  <si>
    <t>Technology</t>
  </si>
  <si>
    <t>Version</t>
  </si>
  <si>
    <t>Purpose</t>
  </si>
  <si>
    <t>Why Used in This Project</t>
  </si>
  <si>
    <t>Official Docs URL</t>
  </si>
  <si>
    <t>Frontend</t>
  </si>
  <si>
    <t>Next.js</t>
  </si>
  <si>
    <t>15 (App Router)</t>
  </si>
  <si>
    <t>React framework</t>
  </si>
  <si>
    <t>App Router for SSR/RSC, file-based routing, Vercel deployment</t>
  </si>
  <si>
    <t>TypeScript</t>
  </si>
  <si>
    <t>5.x</t>
  </si>
  <si>
    <t>Type safety</t>
  </si>
  <si>
    <t>Catch bugs at compile-time across FE+BE</t>
  </si>
  <si>
    <t>3.x</t>
  </si>
  <si>
    <t>Utility CSS</t>
  </si>
  <si>
    <t>Rapid styling without custom CSS files</t>
  </si>
  <si>
    <t>latest</t>
  </si>
  <si>
    <t>Component library</t>
  </si>
  <si>
    <t>Accessible, copy-paste components built on Radix UI</t>
  </si>
  <si>
    <t>7.x</t>
  </si>
  <si>
    <t>Form management</t>
  </si>
  <si>
    <t>Minimal re-renders, native HTML form integration</t>
  </si>
  <si>
    <t>Zod</t>
  </si>
  <si>
    <t>Schema validation</t>
  </si>
  <si>
    <t>Runtime validation + TypeScript inference from one schema</t>
  </si>
  <si>
    <t>2.x</t>
  </si>
  <si>
    <t>Data visualization</t>
  </si>
  <si>
    <t>React-native charts, composable, works with Tailwind</t>
  </si>
  <si>
    <t>Backend</t>
  </si>
  <si>
    <t>NestJS</t>
  </si>
  <si>
    <t>10.x</t>
  </si>
  <si>
    <t>Node.js framework</t>
  </si>
  <si>
    <t>Modular, DI, decorators — production-grade structure</t>
  </si>
  <si>
    <t>Same lang across FE+BE reduces context switching</t>
  </si>
  <si>
    <t>JWT</t>
  </si>
  <si>
    <t>jsonwebtoken</t>
  </si>
  <si>
    <t>Authentication</t>
  </si>
  <si>
    <t>Stateless auth, scalable, industry standard</t>
  </si>
  <si>
    <t>Passport.js</t>
  </si>
  <si>
    <t>jwt strategy</t>
  </si>
  <si>
    <t>Auth middleware</t>
  </si>
  <si>
    <t>NestJS passport integration for JWT strategy</t>
  </si>
  <si>
    <t>http://www.passportjs.org/</t>
  </si>
  <si>
    <t>Database</t>
  </si>
  <si>
    <t>PostgreSQL</t>
  </si>
  <si>
    <t>15.x</t>
  </si>
  <si>
    <t>Relational DB</t>
  </si>
  <si>
    <t>ACID transactions, strong relations for inventory</t>
  </si>
  <si>
    <t>DB client</t>
  </si>
  <si>
    <t>Type-safe queries, migrations, schema-first approach</t>
  </si>
  <si>
    <t>Neon PostgreSQL</t>
  </si>
  <si>
    <t>cloud</t>
  </si>
  <si>
    <t>Managed DB</t>
  </si>
  <si>
    <t>Serverless Postgres, free tier, Vercel-friendly</t>
  </si>
  <si>
    <t>https://neon.tech/docs/introduction</t>
  </si>
  <si>
    <t>Python</t>
  </si>
  <si>
    <t>3.11</t>
  </si>
  <si>
    <t>ML language</t>
  </si>
  <si>
    <t>Rich ecosystem: pandas, sklearn, xgboost</t>
  </si>
  <si>
    <t>https://docs.python.org/3/</t>
  </si>
  <si>
    <t>FastAPI</t>
  </si>
  <si>
    <t>0.100+</t>
  </si>
  <si>
    <t>ML API server</t>
  </si>
  <si>
    <t>Async, auto OpenAPI docs, Pydantic validation</t>
  </si>
  <si>
    <t>Pandas</t>
  </si>
  <si>
    <t>Data processing</t>
  </si>
  <si>
    <t>DataFrame ops, feature engineering, date manipulation</t>
  </si>
  <si>
    <t>Scikit-learn</t>
  </si>
  <si>
    <t>1.3+</t>
  </si>
  <si>
    <t>ML utilities</t>
  </si>
  <si>
    <t>Preprocessing, train/test split, metrics</t>
  </si>
  <si>
    <t>https://scikit-learn.org/stable/</t>
  </si>
  <si>
    <t>XGBoost</t>
  </si>
  <si>
    <t>Demand forecast model</t>
  </si>
  <si>
    <t>Gradient boosting, handles tabular retail data well</t>
  </si>
  <si>
    <t>joblib</t>
  </si>
  <si>
    <t>Model persistence</t>
  </si>
  <si>
    <t>Efficient serialization of sklearn/xgboost models</t>
  </si>
  <si>
    <t>ML Data</t>
  </si>
  <si>
    <t>UCI</t>
  </si>
  <si>
    <t>Training data</t>
  </si>
  <si>
    <t>Real retail transaction data for model training</t>
  </si>
  <si>
    <t>UCI ML Repository</t>
  </si>
  <si>
    <t>Jest</t>
  </si>
  <si>
    <t>29.x</t>
  </si>
  <si>
    <t>Unit testing</t>
  </si>
  <si>
    <t>NestJS default test runner, great mocking support</t>
  </si>
  <si>
    <t>Supertest</t>
  </si>
  <si>
    <t>6.x</t>
  </si>
  <si>
    <t>API testing</t>
  </si>
  <si>
    <t>HTTP assertions for NestJS E2E tests</t>
  </si>
  <si>
    <t>Playwright</t>
  </si>
  <si>
    <t>E2E browser tests</t>
  </si>
  <si>
    <t>Cross-browser, auto-wait, great for UI flows</t>
  </si>
  <si>
    <t>DevOps</t>
  </si>
  <si>
    <t>Docker</t>
  </si>
  <si>
    <t>24.x</t>
  </si>
  <si>
    <t>Containerization</t>
  </si>
  <si>
    <t>ML service containerized for consistent deployment</t>
  </si>
  <si>
    <t>Docker Compose</t>
  </si>
  <si>
    <t>Local multi-service</t>
  </si>
  <si>
    <t>Run all services locally with single command</t>
  </si>
  <si>
    <t>https://docs.docker.com/compose/</t>
  </si>
  <si>
    <t>Vercel</t>
  </si>
  <si>
    <t>Frontend hosting</t>
  </si>
  <si>
    <t>Zero-config Next.js deploy, edge network</t>
  </si>
  <si>
    <t>Render/Railway</t>
  </si>
  <si>
    <t>Backend hosting</t>
  </si>
  <si>
    <t>Easy Node.js + Docker deploys, free tier</t>
  </si>
  <si>
    <t>GitHub Actions</t>
  </si>
  <si>
    <t>optional</t>
  </si>
  <si>
    <t>CI/CD pipeline</t>
  </si>
  <si>
    <t>Automated test runs on push (optional for MVP)</t>
  </si>
  <si>
    <t>https://docs.github.com/en/actions</t>
  </si>
  <si>
    <t>Optional Week 4</t>
  </si>
  <si>
    <t>🗄  SmartShelf AI — PostgreSQL Database Schema Plan (Prisma)</t>
  </si>
  <si>
    <t>Table Name</t>
  </si>
  <si>
    <t>Important Fields</t>
  </si>
  <si>
    <t>Relations</t>
  </si>
  <si>
    <t>MVP Required</t>
  </si>
  <si>
    <t>users</t>
  </si>
  <si>
    <t>Authentication &amp; user management</t>
  </si>
  <si>
    <t>id (uuid), email, password_hash, role (ADMIN|STAFF), is_active, created_at</t>
  </si>
  <si>
    <t>shops via shop_members</t>
  </si>
  <si>
    <t>Seed with 1 admin + 1 staff user</t>
  </si>
  <si>
    <t>shops</t>
  </si>
  <si>
    <t>Shop/store profile</t>
  </si>
  <si>
    <t>id, name, address, phone, currency, timezone, owner_id</t>
  </si>
  <si>
    <t>owner → users; shop_members</t>
  </si>
  <si>
    <t>Single shop for MVP</t>
  </si>
  <si>
    <t>shop_members</t>
  </si>
  <si>
    <t>Many-to-many: user ↔ shop</t>
  </si>
  <si>
    <t>id, user_id, shop_id, role, created_at</t>
  </si>
  <si>
    <t>users, shops</t>
  </si>
  <si>
    <t>Enables multi-shop future</t>
  </si>
  <si>
    <t>categories</t>
  </si>
  <si>
    <t>Product categories</t>
  </si>
  <si>
    <t>id, name, description, shop_id, created_at</t>
  </si>
  <si>
    <t>products</t>
  </si>
  <si>
    <t>Product catalog</t>
  </si>
  <si>
    <t>id, name, sku, barcode, category_id, unit, reorder_level, selling_price, shop_id, created_at</t>
  </si>
  <si>
    <t>categories, product_batches, sale_items, purchase_order_items</t>
  </si>
  <si>
    <t>reorder_level triggers low-stock alert</t>
  </si>
  <si>
    <t>product_batches</t>
  </si>
  <si>
    <t>Batch/lot tracking for expiry</t>
  </si>
  <si>
    <t>id, product_id, batch_no, expiry_date, quantity_remaining, purchase_order_item_id, created_at</t>
  </si>
  <si>
    <t>products, purchase_order_items</t>
  </si>
  <si>
    <t>Enables FEFO deduction + expiry alerts</t>
  </si>
  <si>
    <t>vendors</t>
  </si>
  <si>
    <t>Supplier/vendor management</t>
  </si>
  <si>
    <t>id, name, contact_person, phone, email, address, shop_id, created_at</t>
  </si>
  <si>
    <t>purchase_orders</t>
  </si>
  <si>
    <t>Purchase (inbound stock) header</t>
  </si>
  <si>
    <t>id, vendor_id, shop_id, po_date, total_amount, status, created_by, created_at</t>
  </si>
  <si>
    <t>purchase_order_items, vendors</t>
  </si>
  <si>
    <t>status: PENDING|RECEIVED|CANCELLED</t>
  </si>
  <si>
    <t>purchase_order_items</t>
  </si>
  <si>
    <t>Line items of a purchase order</t>
  </si>
  <si>
    <t>id, purchase_order_id, product_id, quantity, unit_price, expiry_date, batch_no</t>
  </si>
  <si>
    <t>purchase_orders, products, product_batches</t>
  </si>
  <si>
    <t>Creates product_batch on receive</t>
  </si>
  <si>
    <t>sales</t>
  </si>
  <si>
    <t>Sale (outbound) bill header</t>
  </si>
  <si>
    <t>id, shop_id, sale_date, total_amount, discount, customer_name, created_by, created_at</t>
  </si>
  <si>
    <t>sale_items</t>
  </si>
  <si>
    <t>Line items of a sale</t>
  </si>
  <si>
    <t>id, sale_id, product_id, quantity, unit_price, total_price</t>
  </si>
  <si>
    <t>sales, products</t>
  </si>
  <si>
    <t>Triggers stock_movements on create</t>
  </si>
  <si>
    <t>stock_movements</t>
  </si>
  <si>
    <t>Audit log for all stock changes</t>
  </si>
  <si>
    <t>id, product_id, movement_type (IN|OUT|ADJUSTMENT), quantity, reference_id, reference_type, batch_id, created_by, created_at</t>
  </si>
  <si>
    <t>products, users</t>
  </si>
  <si>
    <t>Immutable audit trail</t>
  </si>
  <si>
    <t>forecast_results</t>
  </si>
  <si>
    <t>ML demand forecast storage</t>
  </si>
  <si>
    <t>id, product_id, forecast_date, predicted_quantity, model_version, confidence, created_at</t>
  </si>
  <si>
    <t>Cached from ML service call</t>
  </si>
  <si>
    <t>reports</t>
  </si>
  <si>
    <t>Metadata for generated CSV reports</t>
  </si>
  <si>
    <t>id, shop_id, report_type, date_range_start, date_range_end, file_url, created_by, created_at</t>
  </si>
  <si>
    <t>shops, users</t>
  </si>
  <si>
    <t>Store S3/local URL of generated CSV</t>
  </si>
  <si>
    <t>🔌  SmartShelf AI — REST API Reference</t>
  </si>
  <si>
    <t>Method</t>
  </si>
  <si>
    <t>Endpoint</t>
  </si>
  <si>
    <t>Description</t>
  </si>
  <si>
    <t>Auth Reqd</t>
  </si>
  <si>
    <t>Role Reqd</t>
  </si>
  <si>
    <t>Request Body (key fields)</t>
  </si>
  <si>
    <t>Response</t>
  </si>
  <si>
    <t>POST</t>
  </si>
  <si>
    <t>/auth/register</t>
  </si>
  <si>
    <t>Register new user</t>
  </si>
  <si>
    <t>—</t>
  </si>
  <si>
    <t>{ email, password, name, role }</t>
  </si>
  <si>
    <t>{ id, email, role, token }</t>
  </si>
  <si>
    <t>201</t>
  </si>
  <si>
    <t>/auth/login</t>
  </si>
  <si>
    <t>Login and get JWT</t>
  </si>
  <si>
    <t>{ email, password }</t>
  </si>
  <si>
    <t>{ access_token, user }</t>
  </si>
  <si>
    <t>200</t>
  </si>
  <si>
    <t>GET</t>
  </si>
  <si>
    <t>/auth/me</t>
  </si>
  <si>
    <t>Get current user profile</t>
  </si>
  <si>
    <t>Any</t>
  </si>
  <si>
    <t>{ id, email, name, role }</t>
  </si>
  <si>
    <t>/auth/refresh</t>
  </si>
  <si>
    <t>Refresh access token</t>
  </si>
  <si>
    <t>{ refresh_token }</t>
  </si>
  <si>
    <t>{ access_token }</t>
  </si>
  <si>
    <t>Shops</t>
  </si>
  <si>
    <t>/shops/:id</t>
  </si>
  <si>
    <t>Get shop profile</t>
  </si>
  <si>
    <t>{ id, name, address, currency }</t>
  </si>
  <si>
    <t>PUT</t>
  </si>
  <si>
    <t>Update shop profile</t>
  </si>
  <si>
    <t>Admin</t>
  </si>
  <si>
    <t>{ name, address, phone, currency }</t>
  </si>
  <si>
    <t>Updated shop object</t>
  </si>
  <si>
    <t>/shops/:id/members</t>
  </si>
  <si>
    <t>Add member to shop</t>
  </si>
  <si>
    <t>{ user_id, role }</t>
  </si>
  <si>
    <t>{ shop_member }</t>
  </si>
  <si>
    <t>Categories</t>
  </si>
  <si>
    <t>/categories</t>
  </si>
  <si>
    <t>List all categories</t>
  </si>
  <si>
    <t>[{ id, name }]</t>
  </si>
  <si>
    <t>Create category</t>
  </si>
  <si>
    <t>{ name, description }</t>
  </si>
  <si>
    <t>{ id, name }</t>
  </si>
  <si>
    <t>/categories/:id</t>
  </si>
  <si>
    <t>Update category</t>
  </si>
  <si>
    <t>Updated category</t>
  </si>
  <si>
    <t>DELETE</t>
  </si>
  <si>
    <t>Delete category</t>
  </si>
  <si>
    <t>{ message }</t>
  </si>
  <si>
    <t>/products</t>
  </si>
  <si>
    <t>List products (with filters)</t>
  </si>
  <si>
    <t>?category_id=&amp;search=&amp;low_stock=true</t>
  </si>
  <si>
    <t>[{ id, name, sku, quantity, ... }]</t>
  </si>
  <si>
    <t>Create product</t>
  </si>
  <si>
    <t>{ name, sku, category_id, reorder_level, unit, selling_price }</t>
  </si>
  <si>
    <t>Created product</t>
  </si>
  <si>
    <t>/products/:id</t>
  </si>
  <si>
    <t>Get product detail</t>
  </si>
  <si>
    <t>{ ...product, batches }</t>
  </si>
  <si>
    <t>Update product</t>
  </si>
  <si>
    <t>{ name, selling_price, reorder_level, ... }</t>
  </si>
  <si>
    <t>Updated product</t>
  </si>
  <si>
    <t>Delete product</t>
  </si>
  <si>
    <t>/vendors</t>
  </si>
  <si>
    <t>List vendors</t>
  </si>
  <si>
    <t>[{ id, name, contact_person }]</t>
  </si>
  <si>
    <t>Create vendor</t>
  </si>
  <si>
    <t>{ name, phone, email, address }</t>
  </si>
  <si>
    <t>Created vendor</t>
  </si>
  <si>
    <t>/vendors/:id</t>
  </si>
  <si>
    <t>Update vendor</t>
  </si>
  <si>
    <t>{ name, phone, email }</t>
  </si>
  <si>
    <t>Updated vendor</t>
  </si>
  <si>
    <t>Delete vendor</t>
  </si>
  <si>
    <t>/purchases</t>
  </si>
  <si>
    <t>List purchase orders</t>
  </si>
  <si>
    <t>?vendor_id=&amp;status=</t>
  </si>
  <si>
    <t>[{ id, vendor, total, status }]</t>
  </si>
  <si>
    <t>Create purchase order</t>
  </si>
  <si>
    <t>Admin|Staff</t>
  </si>
  <si>
    <t>{ vendor_id, items: [{ product_id, qty, unit_price, expiry_date }] }</t>
  </si>
  <si>
    <t>Created PO + stock updated</t>
  </si>
  <si>
    <t>/purchases/:id</t>
  </si>
  <si>
    <t>Get PO detail</t>
  </si>
  <si>
    <t>{ ...po, items }</t>
  </si>
  <si>
    <t>/sales</t>
  </si>
  <si>
    <t>List sales</t>
  </si>
  <si>
    <t>?date_from=&amp;date_to=</t>
  </si>
  <si>
    <t>[{ id, total, sale_date }]</t>
  </si>
  <si>
    <t>Create sale bill</t>
  </si>
  <si>
    <t>{ items: [{ product_id, quantity, unit_price }], discount, customer_name }</t>
  </si>
  <si>
    <t>Created sale + stock decremented</t>
  </si>
  <si>
    <t>/sales/:id</t>
  </si>
  <si>
    <t>Get sale detail</t>
  </si>
  <si>
    <t>{ ...sale, items }</t>
  </si>
  <si>
    <t>/inventory/alerts</t>
  </si>
  <si>
    <t>Get low-stock + expiry alerts</t>
  </si>
  <si>
    <t>{ low_stock: [], expiring_soon: [] }</t>
  </si>
  <si>
    <t>/inventory/movements</t>
  </si>
  <si>
    <t>Stock movement history</t>
  </si>
  <si>
    <t>?product_id=&amp;type=</t>
  </si>
  <si>
    <t>[{ movement_type, qty, date }]</t>
  </si>
  <si>
    <t>/inventory/adjust</t>
  </si>
  <si>
    <t>Manual stock adjustment</t>
  </si>
  <si>
    <t>{ product_id, quantity, reason }</t>
  </si>
  <si>
    <t>Stock movement record</t>
  </si>
  <si>
    <t>/dashboard/summary</t>
  </si>
  <si>
    <t>KPI cards data</t>
  </si>
  <si>
    <t>{ total_sales, revenue, low_stock_count, expiring_count }</t>
  </si>
  <si>
    <t>/dashboard/sales-trend</t>
  </si>
  <si>
    <t>Weekly sales trend</t>
  </si>
  <si>
    <t>?weeks=4</t>
  </si>
  <si>
    <t>[{ week, revenue, count }]</t>
  </si>
  <si>
    <t>/dashboard/top-products</t>
  </si>
  <si>
    <t>Top 5 products by revenue</t>
  </si>
  <si>
    <t>?limit=5</t>
  </si>
  <si>
    <t>[{ product_name, revenue, qty }]</t>
  </si>
  <si>
    <t>/reports/generate</t>
  </si>
  <si>
    <t>Generate CSV report</t>
  </si>
  <si>
    <t>{ report_type: 'sales'|'inventory'|'purchases', date_from, date_to }</t>
  </si>
  <si>
    <t>{ file_url }</t>
  </si>
  <si>
    <t>/reports</t>
  </si>
  <si>
    <t>List generated reports</t>
  </si>
  <si>
    <t>[{ id, type, date_range, file_url }]</t>
  </si>
  <si>
    <t>ML Forecast</t>
  </si>
  <si>
    <t>/forecast/train</t>
  </si>
  <si>
    <t>Trigger model training</t>
  </si>
  <si>
    <t>{ product_id? }</t>
  </si>
  <si>
    <t>{ status, model_version }</t>
  </si>
  <si>
    <t>/forecast/predict</t>
  </si>
  <si>
    <t>Get demand forecast</t>
  </si>
  <si>
    <t>{ product_id, days_ahead: 7 }</t>
  </si>
  <si>
    <t>{ predictions: [{ date, qty }] }</t>
  </si>
  <si>
    <t>/forecast/results/:product_id</t>
  </si>
  <si>
    <t>Get cached forecast</t>
  </si>
  <si>
    <t>[{ forecast_date, predicted_qty }]</t>
  </si>
  <si>
    <t>🧪  SmartShelf AI — Testing Checklist</t>
  </si>
  <si>
    <t>#</t>
  </si>
  <si>
    <t>Test Type</t>
  </si>
  <si>
    <t>Test Case</t>
  </si>
  <si>
    <t>Expected Result</t>
  </si>
  <si>
    <t>Pass/Fail</t>
  </si>
  <si>
    <t>Day Tested</t>
  </si>
  <si>
    <t>Unit</t>
  </si>
  <si>
    <t>AuthService.register() creates user with hashed password</t>
  </si>
  <si>
    <t>User saved with bcrypt hash, not plain text</t>
  </si>
  <si>
    <t>Pending</t>
  </si>
  <si>
    <t>AuthService.login() returns JWT on valid credentials</t>
  </si>
  <si>
    <t>Returns { access_token } string</t>
  </si>
  <si>
    <t>AuthService.login() throws 401 on wrong password</t>
  </si>
  <si>
    <t>UnauthorizedException thrown</t>
  </si>
  <si>
    <t>ProductsService.create() creates product record</t>
  </si>
  <si>
    <t>Product with correct fields saved to DB</t>
  </si>
  <si>
    <t>ProductsService.findAll() returns paginated list</t>
  </si>
  <si>
    <t>Array with pagination metadata</t>
  </si>
  <si>
    <t>SalesService.create() decrements stock quantity</t>
  </si>
  <si>
    <t>product quantity decreases by sale quantity</t>
  </si>
  <si>
    <t>SalesService.create() throws 400 if insufficient stock</t>
  </si>
  <si>
    <t>BadRequestException: Insufficient stock</t>
  </si>
  <si>
    <t>PurchasesService.create() increments stock quantity</t>
  </si>
  <si>
    <t>product quantity increases by purchase quantity</t>
  </si>
  <si>
    <t>AlertsService returns low-stock products</t>
  </si>
  <si>
    <t>Products below reorder_level in result</t>
  </si>
  <si>
    <t>AlertsService returns expiring products (&lt; 7 days)</t>
  </si>
  <si>
    <t>Batches with expiry_date &lt; today+7 returned</t>
  </si>
  <si>
    <t>ForecastService falls back to rule-based if ML down</t>
  </si>
  <si>
    <t>Returns rolling average, no crash</t>
  </si>
  <si>
    <t>API</t>
  </si>
  <si>
    <t>POST /auth/register → 201 with valid payload</t>
  </si>
  <si>
    <t>{ id, email, role } in response</t>
  </si>
  <si>
    <t>POST /auth/register → 400 with duplicate email</t>
  </si>
  <si>
    <t>400 Bad Request returned</t>
  </si>
  <si>
    <t>POST /auth/login → 200 with access_token</t>
  </si>
  <si>
    <t>access_token string in body</t>
  </si>
  <si>
    <t>POST /auth/login → 401 with wrong password</t>
  </si>
  <si>
    <t>401 Unauthorized</t>
  </si>
  <si>
    <t>GET /products without token → 401</t>
  </si>
  <si>
    <t>POST /products with Admin token → 201</t>
  </si>
  <si>
    <t>Product created, id returned</t>
  </si>
  <si>
    <t>POST /products with Staff token → 403</t>
  </si>
  <si>
    <t>403 Forbidden (Staff can't create)</t>
  </si>
  <si>
    <t>POST /purchases → stock increases</t>
  </si>
  <si>
    <t>GET /products/:id shows higher qty</t>
  </si>
  <si>
    <t>POST /sales → stock decreases</t>
  </si>
  <si>
    <t>GET /products/:id shows lower qty</t>
  </si>
  <si>
    <t>POST /sales with qty &gt; stock → 400</t>
  </si>
  <si>
    <t>400 Bad Request: Insufficient stock</t>
  </si>
  <si>
    <t>GET /inventory/alerts returns low-stock list</t>
  </si>
  <si>
    <t>Array of products below threshold</t>
  </si>
  <si>
    <t>GET /dashboard/summary → correct counts</t>
  </si>
  <si>
    <t>total_sales, revenue match DB aggregates</t>
  </si>
  <si>
    <t>POST /reports/generate → file_url returned</t>
  </si>
  <si>
    <t>CSV file URL in response</t>
  </si>
  <si>
    <t>E2E</t>
  </si>
  <si>
    <t>User can register from /register page</t>
  </si>
  <si>
    <t>Redirect to dashboard after register</t>
  </si>
  <si>
    <t>User can login from /login page</t>
  </si>
  <si>
    <t>JWT stored, dashboard visible</t>
  </si>
  <si>
    <t>Admin can add a new product via UI</t>
  </si>
  <si>
    <t>Product appears in product list table</t>
  </si>
  <si>
    <t>Admin can create a vendor</t>
  </si>
  <si>
    <t>Vendor appears in vendor list</t>
  </si>
  <si>
    <t>Admin can create a purchase and stock increases</t>
  </si>
  <si>
    <t>Product qty visibly increases on product page</t>
  </si>
  <si>
    <t>Staff can create a sale bill</t>
  </si>
  <si>
    <t>Sale created, stock decreases visible</t>
  </si>
  <si>
    <t>Low-stock alert banner appears when stock &lt; threshold</t>
  </si>
  <si>
    <t>Red alert banner visible on dashboard</t>
  </si>
  <si>
    <t>Expiry alert badge appears on near-expiry product</t>
  </si>
  <si>
    <t>Orange badge on product with &lt;7 day expiry</t>
  </si>
  <si>
    <t>Dashboard charts render with data</t>
  </si>
  <si>
    <t>Bar chart and line chart visible with data</t>
  </si>
  <si>
    <t>CSV report downloads successfully</t>
  </si>
  <si>
    <t>File download triggered, CSV opens correctly</t>
  </si>
  <si>
    <t>Forecast card shows predictions on dashboard</t>
  </si>
  <si>
    <t>Forecast table/chart with dates and quantities</t>
  </si>
  <si>
    <t>Staff cannot access admin-only pages</t>
  </si>
  <si>
    <t>Auth/RBAC</t>
  </si>
  <si>
    <t>Redirect to /unauthorized or 403 page</t>
  </si>
  <si>
    <t>🚀  SmartShelf AI — Deployment Checklist</t>
  </si>
  <si>
    <t>Service</t>
  </si>
  <si>
    <t>Task</t>
  </si>
  <si>
    <t>Platform</t>
  </si>
  <si>
    <t>Target Day</t>
  </si>
  <si>
    <t>Create Neon PostgreSQL project</t>
  </si>
  <si>
    <t>Neon</t>
  </si>
  <si>
    <t>Free tier, copy connection string</t>
  </si>
  <si>
    <t>Day 1</t>
  </si>
  <si>
    <t>Set DATABASE_URL in .env</t>
  </si>
  <si>
    <t>Local</t>
  </si>
  <si>
    <t>postgres://user:pass@host/db</t>
  </si>
  <si>
    <t>Run prisma migrate deploy in production</t>
  </si>
  <si>
    <t>npx prisma migrate deploy</t>
  </si>
  <si>
    <t>Day 25</t>
  </si>
  <si>
    <t>Seed production DB with demo data</t>
  </si>
  <si>
    <t>npx prisma db seed</t>
  </si>
  <si>
    <t>Create Render/Railway service</t>
  </si>
  <si>
    <t>Render</t>
  </si>
  <si>
    <t>Node.js service, connect to GitHub repo</t>
  </si>
  <si>
    <t>Set all env vars on Render</t>
  </si>
  <si>
    <t>DATABASE_URL, JWT_SECRET, ML_SERVICE_URL, CORS_ORIGIN</t>
  </si>
  <si>
    <t>Deploy NestJS and verify /health endpoint</t>
  </si>
  <si>
    <t>GET /health → 200 OK</t>
  </si>
  <si>
    <t>Enable CORS for Vercel frontend URL</t>
  </si>
  <si>
    <t>app.enableCors({ origin: process.env.CORS_ORIGIN })</t>
  </si>
  <si>
    <t>Verify all API endpoints on production URL</t>
  </si>
  <si>
    <t>Use Postman/Insomnia with production base URL</t>
  </si>
  <si>
    <t>Create Dockerfile for FastAPI app</t>
  </si>
  <si>
    <t>FROM python:3.11-slim, pip install -r requirements.txt</t>
  </si>
  <si>
    <t>Day 26</t>
  </si>
  <si>
    <t>Test Docker build locally</t>
  </si>
  <si>
    <t>docker build -t smartshelf-ml .</t>
  </si>
  <si>
    <t>Create Render Docker service</t>
  </si>
  <si>
    <t>New service → Docker, connect to GitHub</t>
  </si>
  <si>
    <t>Set ML service env vars on Render</t>
  </si>
  <si>
    <t>PORT, MODEL_PATH</t>
  </si>
  <si>
    <t>Deploy ML service and verify /health</t>
  </si>
  <si>
    <t>GET /health → { status: ok }</t>
  </si>
  <si>
    <t>Update ML_SERVICE_URL in NestJS env</t>
  </si>
  <si>
    <t>Point to production ML URL</t>
  </si>
  <si>
    <t>Test /forecast endpoint from NestJS</t>
  </si>
  <si>
    <t>POST /forecast returns predictions</t>
  </si>
  <si>
    <t>Create Vercel project, connect GitHub</t>
  </si>
  <si>
    <t>Import repo, set root to /frontend or ./</t>
  </si>
  <si>
    <t>Day 27</t>
  </si>
  <si>
    <t>Set NEXT_PUBLIC_API_URL env on Vercel</t>
  </si>
  <si>
    <t>Points to Render NestJS base URL</t>
  </si>
  <si>
    <t>Trigger production build on Vercel</t>
  </si>
  <si>
    <t>Build logs show no errors</t>
  </si>
  <si>
    <t>Test all pages on live Vercel URL</t>
  </si>
  <si>
    <t>Login, products, purchases, sales, dashboard</t>
  </si>
  <si>
    <t>Check mobile responsiveness</t>
  </si>
  <si>
    <t>Browser</t>
  </si>
  <si>
    <t>DevTools → iPhone 14 viewport</t>
  </si>
  <si>
    <t>Final</t>
  </si>
  <si>
    <t>Test full user journey on production URLs</t>
  </si>
  <si>
    <t>Register → add product → purchase → sale → dashboard</t>
  </si>
  <si>
    <t>Day 28</t>
  </si>
  <si>
    <t>Create demo credentials in seed data</t>
  </si>
  <si>
    <t>admin@demo.com / Demo123! and staff@demo.com / Demo123!</t>
  </si>
  <si>
    <t>Add all production URLs to README.md</t>
  </si>
  <si>
    <t>GitHub</t>
  </si>
  <si>
    <t>Live Demo, API Base URL, ML Service URL</t>
  </si>
  <si>
    <t>GitHub repo: add topics, description, license</t>
  </si>
  <si>
    <t>Topics: nextjs, nestjs, inventory, typescript</t>
  </si>
  <si>
    <t>Record demo video (Loom/OBS)</t>
  </si>
  <si>
    <t>Loom</t>
  </si>
  <si>
    <t>3-5 min: login → inventory flow → ML forecast</t>
  </si>
  <si>
    <t>Day 29</t>
  </si>
  <si>
    <t>Share on LinkedIn / portfolio site</t>
  </si>
  <si>
    <t>LinkedIn</t>
  </si>
  <si>
    <t>Post with live URL, tech stack, screenshots</t>
  </si>
  <si>
    <t>Day 30</t>
  </si>
  <si>
    <t>⏱  SmartShelf AI — Daily Time Log</t>
  </si>
  <si>
    <t>Debug/Commit
Hrs</t>
  </si>
  <si>
    <t>Main Task Done</t>
  </si>
  <si>
    <t>Blockers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</si>
  <si>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</si>
  <si>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</si>
  <si>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</si>
  <si>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</si>
  <si>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</si>
  <si>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</si>
  <si>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</si>
  <si>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</si>
  <si>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</si>
  <si>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</si>
  <si>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</si>
  <si>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</si>
  <si>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</si>
  <si>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</si>
  <si>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</si>
  <si>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</si>
  <si>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</si>
  <si>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</si>
  <si>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</si>
  <si>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</si>
  <si>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</si>
  <si>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</si>
  <si>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</si>
  <si>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30 Days</t>
  </si>
  <si>
    <t>Fill in daily to track progress</t>
  </si>
  <si>
    <t>TARGET</t>
  </si>
  <si>
    <t>~5-6 hrs/day for 30 days</t>
  </si>
  <si>
    <t>⚠️  SmartShelf AI — Risk Register &amp; Fallback Plan</t>
  </si>
  <si>
    <t>Risk Category</t>
  </si>
  <si>
    <t>Risk Description</t>
  </si>
  <si>
    <t>Probability</t>
  </si>
  <si>
    <t>Impact</t>
  </si>
  <si>
    <t>Fallback Plan</t>
  </si>
  <si>
    <t>Owner/Day</t>
  </si>
  <si>
    <t>ML/Data</t>
  </si>
  <si>
    <t>XGBoost model training takes too long or fails to converge</t>
  </si>
  <si>
    <t>Use rule-based fallback: 7-day rolling average of stock movements for each product. Ship fallback first, ML second.</t>
  </si>
  <si>
    <t>Day 23 / Self</t>
  </si>
  <si>
    <t>Online Retail dataset preprocessing is complex</t>
  </si>
  <si>
    <t>Use synthetic data: generate 6-month sales history per product using Python random. Train on that to prove pipeline works.</t>
  </si>
  <si>
    <t>Day 18 / Self</t>
  </si>
  <si>
    <t>FastAPI ML service has cold start issues on Render free tier</t>
  </si>
  <si>
    <t>Add /health ping from NestJS on startup. Show 'forecast loading' state in UI. Cache last forecast in DB.</t>
  </si>
  <si>
    <t>Day 26 / Self</t>
  </si>
  <si>
    <t>Prisma schema becomes too complex with all tables</t>
  </si>
  <si>
    <t>Start with: users, products, purchases, sales, stock_movements only. Add vendors, batches, forecasts incrementally.</t>
  </si>
  <si>
    <t>Day 4 / Self</t>
  </si>
  <si>
    <t>NestJS circular dependencies between modules</t>
  </si>
  <si>
    <t>Use forwardRef() sparingly. Keep modules loosely coupled. StockMovements should be a separate service injected into Sales/Purchases.</t>
  </si>
  <si>
    <t>Day 11 / Self</t>
  </si>
  <si>
    <t>Stock deduction logic has edge cases (partial batches)</t>
  </si>
  <si>
    <t>Implement simple total-quantity deduction first (no FEFO). Add FEFO batch logic only after basic sale billing works.</t>
  </si>
  <si>
    <t>Day 13 / Self</t>
  </si>
  <si>
    <t>UI takes too long to build with custom designs</t>
  </si>
  <si>
    <t>Use only ShadCN pre-built components (Table, Dialog, Card, Badge). Zero custom CSS. Tailwind utilities only.</t>
  </si>
  <si>
    <t>Day 6 / Self</t>
  </si>
  <si>
    <t>React Hook Form + Zod integration issues</t>
  </si>
  <si>
    <t>Use RHF v7 zodResolver. Copy patterns from official RHF docs. Test each form in isolation before integration.</t>
  </si>
  <si>
    <t>Day 3 / Self</t>
  </si>
  <si>
    <t>Backend deployment fails due to env var mismatch</t>
  </si>
  <si>
    <t>Keep a .env.production file template in repo (no secrets). Test deployment script locally with Docker before pushing.</t>
  </si>
  <si>
    <t>Day 25 / Self</t>
  </si>
  <si>
    <t>Render/Railway free tier sleeps after inactivity</t>
  </si>
  <si>
    <t>Use Render cron job or external uptime monitor (cron-job.org) to ping /health every 14 minutes.</t>
  </si>
  <si>
    <t>Day 27 / Self</t>
  </si>
  <si>
    <t>Vercel build fails due to TypeScript errors</t>
  </si>
  <si>
    <t>Run npm run build locally before pushing. Fix all TS errors. Set strictNullChecks: true from Day 1.</t>
  </si>
  <si>
    <t>Time</t>
  </si>
  <si>
    <t>Week 3 ML + Dashboard takes longer than planned</t>
  </si>
  <si>
    <t>Cut advanced charts (keep only 1 line + 1 bar). Ship basic forecast as text-only table first, add chart later.</t>
  </si>
  <si>
    <t>Day 21 / Self</t>
  </si>
  <si>
    <t>Testing week (Week 4) expands unexpectedly</t>
  </si>
  <si>
    <t>Write unit tests in parallel during Week 1-3 (one test file per module). Don't leave all testing to Week 4.</t>
  </si>
  <si>
    <t>Day 22 / Self</t>
  </si>
  <si>
    <t>README + portfolio polish takes more than 1 day</t>
  </si>
  <si>
    <t>Use a README template. Take screenshots as you build each feature. Don't wait until Day 28.</t>
  </si>
  <si>
    <t>Day 30 / Self</t>
  </si>
  <si>
    <t>Security</t>
  </si>
  <si>
    <t>JWT secret leaked to GitHub</t>
  </si>
  <si>
    <t>Critical</t>
  </si>
  <si>
    <t>Use .env files, never commit secrets. Add .env to .gitignore on Day 1. Use GitHub Secrets for CI/CD.</t>
  </si>
  <si>
    <t>Day 1 / Self</t>
  </si>
  <si>
    <t>🔮  SmartShelf AI — Post-MVP Deferred Features</t>
  </si>
  <si>
    <t>Feature</t>
  </si>
  <si>
    <t>Category</t>
  </si>
  <si>
    <t>Complexity</t>
  </si>
  <si>
    <t>Business Value</t>
  </si>
  <si>
    <t>Tech Stack Hint</t>
  </si>
  <si>
    <t>Target Phase</t>
  </si>
  <si>
    <t>Customer segmentation (RFM analysis)</t>
  </si>
  <si>
    <t>ML</t>
  </si>
  <si>
    <t>Pandas + KMeans/DBSCAN, new /segments endpoint in FastAPI</t>
  </si>
  <si>
    <t>v1.1 - Post MVP</t>
  </si>
  <si>
    <t>Association rule mining (Market basket)</t>
  </si>
  <si>
    <t>mlxtend FP-Growth, recommend complementary products</t>
  </si>
  <si>
    <t>Anomaly detection for sales/inventory</t>
  </si>
  <si>
    <t>Isolation Forest or Z-score on daily sales time series</t>
  </si>
  <si>
    <t>v1.2</t>
  </si>
  <si>
    <t>Payment gateway integration</t>
  </si>
  <si>
    <t>Payments</t>
  </si>
  <si>
    <t>Razorpay or Stripe SDK, webhook for payment confirmation</t>
  </si>
  <si>
    <t>GST / tax filing export</t>
  </si>
  <si>
    <t>Compliance</t>
  </si>
  <si>
    <t>GST GSTR-1 format CSV/JSON, Indian tax calculation</t>
  </si>
  <si>
    <t>v2.0</t>
  </si>
  <si>
    <t>Advanced PDF reports (with charts)</t>
  </si>
  <si>
    <t>WeasyPrint or Puppeteer PDF generation</t>
  </si>
  <si>
    <t>WhatsApp / SMS low-stock alerts</t>
  </si>
  <si>
    <t>Notifications</t>
  </si>
  <si>
    <t>Twilio SMS or WhatsApp Business API</t>
  </si>
  <si>
    <t>Email notifications (SMTP)</t>
  </si>
  <si>
    <t>Nodemailer in NestJS, daily digest email</t>
  </si>
  <si>
    <t>Mobile app (React Native / Flutter)</t>
  </si>
  <si>
    <t>Mobile</t>
  </si>
  <si>
    <t>Very High</t>
  </si>
  <si>
    <t>Expo React Native or Flutter, same NestJS backend</t>
  </si>
  <si>
    <t>Progressive Web App (PWA)</t>
  </si>
  <si>
    <t>next-pwa, service worker, offline mode</t>
  </si>
  <si>
    <t>Multi-location / multi-branch support</t>
  </si>
  <si>
    <t>Architecture</t>
  </si>
  <si>
    <t>shop_locations table, location-based stock queries</t>
  </si>
  <si>
    <t>SaaS billing (subscription tiers)</t>
  </si>
  <si>
    <t>Business</t>
  </si>
  <si>
    <t>Stripe Billing, plan-based feature gating</t>
  </si>
  <si>
    <t>Redis caching layer</t>
  </si>
  <si>
    <t>Performance</t>
  </si>
  <si>
    <t>ioredis, cache dashboard queries, forecast results</t>
  </si>
  <si>
    <t>Redis job queues (BullMQ)</t>
  </si>
  <si>
    <t>BullMQ for async report generation and ML training jobs</t>
  </si>
  <si>
    <t>Kubernetes deployment</t>
  </si>
  <si>
    <t>K8s manifests, horizontal pod autoscaling</t>
  </si>
  <si>
    <t>v3.0</t>
  </si>
  <si>
    <t>Advanced CI/CD pipeline</t>
  </si>
  <si>
    <t>GitHub Actions: lint, test, build, deploy on merge to main</t>
  </si>
  <si>
    <t>Customer purchase history portal</t>
  </si>
  <si>
    <t>Customer-facing portal, order history, invoices</t>
  </si>
  <si>
    <t>Supplier portal / vendor self-service</t>
  </si>
  <si>
    <t>Vendor login, PO confirmation, delivery tracking</t>
  </si>
  <si>
    <t>Barcode scanner integration</t>
  </si>
  <si>
    <t>QuaggaJS or ZXing for camera-based barcode scan</t>
  </si>
  <si>
    <t>Dark mode UI</t>
  </si>
  <si>
    <t>next-themes, Tailwind dark: variants</t>
  </si>
  <si>
    <t>Internationalization (i18n)</t>
  </si>
  <si>
    <t>next-intl, multi-language support (Hindi, Tamil, etc.)</t>
  </si>
  <si>
    <t>Data export to Google Sheets</t>
  </si>
  <si>
    <t>Integration</t>
  </si>
  <si>
    <t>Google Sheets API v4, scheduled sync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</si>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</sst>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1B3A6B"/>
      <name val="Arial"/>
      <charset val="1"/>
    </font>
    <font>
      <b/>
      <sz val="10"/>
      <color rgb="FFFFFFFF"/>
      <name val="Arial"/>
      <charset val="1"/>
    </font>
    <font>
      <b/>
      <sz val="12"/>
      <color rgb="FF0D6E8A"/>
      <name val="Arial"/>
      <charset val="1"/>
    </font>
    <font>
      <sz val="10"/>
      <color rgb="FF000000"/>
      <name val="Arial"/>
      <charset val="1"/>
    </font>
    <font>
      <b/>
      <sz val="11"/>
      <color rgb="FF1B5E20"/>
      <name val="Arial"/>
      <charset val="1"/>
    </font>
    <font>
      <i/>
      <sz val="9"/>
      <color rgb="FF424242"/>
      <name val="Arial"/>
      <charset val="1"/>
    </font>
    <font>
      <b/>
      <sz val="10"/>
      <color rgb="FFB71C1C"/>
      <name val="Arial"/>
      <charset val="1"/>
    </font>
    <font>
      <b/>
      <sz val="10"/>
      <color rgb="FFE65100"/>
      <name val="Arial"/>
      <charset val="1"/>
    </font>
    <font>
      <b/>
      <sz val="10"/>
      <color rgb="FF1B5E2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B3A6B"/>
      <name val="Arial"/>
      <charset val="1"/>
    </font>
    <font>
      <b/>
      <sz val="10"/>
      <color rgb="FF0D6E8A"/>
      <name val="Arial"/>
      <charset val="1"/>
    </font>
    <font>
      <b/>
      <sz val="10"/>
      <color rgb="FF7B1FA2"/>
      <name val="Arial"/>
      <charset val="1"/>
    </font>
    <font>
      <b/>
      <sz val="10"/>
      <color rgb="FFD84315"/>
      <name val="Arial"/>
      <charset val="1"/>
    </font>
    <font>
      <b/>
      <sz val="12"/>
      <color rgb="FFFFFFFF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0D6E8A"/>
        <bgColor rgb="FF008080"/>
      </patternFill>
    </fill>
    <fill>
      <patternFill patternType="solid">
        <fgColor rgb="FF424242"/>
        <bgColor rgb="FF333300"/>
      </patternFill>
    </fill>
    <fill>
      <patternFill patternType="solid">
        <fgColor rgb="FFE3F2FD"/>
        <bgColor rgb="FFE1F5FE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F1F8E9"/>
      </patternFill>
    </fill>
    <fill>
      <patternFill patternType="solid">
        <fgColor rgb="FFFFFDE7"/>
        <bgColor rgb="FFFFF8E1"/>
      </patternFill>
    </fill>
    <fill>
      <patternFill patternType="solid">
        <fgColor rgb="FFC8E6C9"/>
        <bgColor rgb="FFE0F2F1"/>
      </patternFill>
    </fill>
    <fill>
      <patternFill patternType="solid">
        <fgColor rgb="FFFFCDD2"/>
        <bgColor rgb="FFFCE4EC"/>
      </patternFill>
    </fill>
    <fill>
      <patternFill patternType="solid">
        <fgColor rgb="FFFFF9C4"/>
        <bgColor rgb="FFFFF8E1"/>
      </patternFill>
    </fill>
    <fill>
      <patternFill patternType="solid">
        <fgColor rgb="FFF5F5F5"/>
        <bgColor rgb="FFF1F8E9"/>
      </patternFill>
    </fill>
    <fill>
      <patternFill patternType="solid">
        <fgColor rgb="FFBDBDBD"/>
        <bgColor rgb="FFC8E6C9"/>
      </patternFill>
    </fill>
    <fill>
      <patternFill patternType="solid">
        <fgColor rgb="FF7B1FA2"/>
        <bgColor rgb="FF800080"/>
      </patternFill>
    </fill>
    <fill>
      <patternFill patternType="solid">
        <fgColor rgb="FFD84315"/>
        <bgColor rgb="FFE65100"/>
      </patternFill>
    </fill>
    <fill>
      <patternFill patternType="solid">
        <fgColor rgb="FFF3E5F5"/>
        <bgColor rgb="FFEDE7F6"/>
      </patternFill>
    </fill>
    <fill>
      <patternFill patternType="solid">
        <fgColor rgb="FFFCE4EC"/>
        <bgColor rgb="FFFBE9E7"/>
      </patternFill>
    </fill>
    <fill>
      <patternFill patternType="solid">
        <fgColor rgb="FFE0F7FA"/>
        <bgColor rgb="FFE1F5FE"/>
      </patternFill>
    </fill>
    <fill>
      <patternFill patternType="solid">
        <fgColor rgb="FFFFF3E0"/>
        <bgColor rgb="FFFFF8E1"/>
      </patternFill>
    </fill>
    <fill>
      <patternFill patternType="solid">
        <fgColor rgb="FFF1F8E9"/>
        <bgColor rgb="FFF5F5F5"/>
      </patternFill>
    </fill>
    <fill>
      <patternFill patternType="solid">
        <fgColor rgb="FFE1F5FE"/>
        <bgColor rgb="FFE0F7FA"/>
      </patternFill>
    </fill>
    <fill>
      <patternFill patternType="solid">
        <fgColor rgb="FFFFEBEE"/>
        <bgColor rgb="FFFBE9E7"/>
      </patternFill>
    </fill>
    <fill>
      <patternFill patternType="solid">
        <fgColor rgb="FFFFF8E1"/>
        <bgColor rgb="FFFFF3E0"/>
      </patternFill>
    </fill>
    <fill>
      <patternFill patternType="solid">
        <fgColor rgb="FFE0F2F1"/>
        <bgColor rgb="FFE3F2FD"/>
      </patternFill>
    </fill>
    <fill>
      <patternFill patternType="solid">
        <fgColor rgb="FFEDE7F6"/>
        <bgColor rgb="FFE8EAF6"/>
      </patternFill>
    </fill>
    <fill>
      <patternFill patternType="solid">
        <fgColor rgb="FFE8EAF6"/>
        <bgColor rgb="FFEDE7F6"/>
      </patternFill>
    </fill>
    <fill>
      <patternFill patternType="solid">
        <fgColor rgb="FFFBE9E7"/>
        <bgColor rgb="FFFFEBEE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1B3A6B"/>
      </top>
      <bottom style="medium">
        <color rgb="FF1B3A6B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/>
    <xf numFmtId="164" fontId="7" fillId="6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8" fillId="25" borderId="1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164" fontId="8" fillId="12" borderId="1" xfId="0" applyNumberFormat="1" applyFont="1" applyFill="1" applyBorder="1" applyAlignment="1">
      <alignment horizontal="center" vertical="center" wrapText="1"/>
    </xf>
    <xf numFmtId="164" fontId="17" fillId="1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14" fillId="15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7B1FA2"/>
      <rgbColor rgb="FF0D6E8A"/>
      <rgbColor rgb="FFBDBDBD"/>
      <rgbColor rgb="FF808080"/>
      <rgbColor rgb="FFEDE7F6"/>
      <rgbColor rgb="FFD84315"/>
      <rgbColor rgb="FFFFF9C4"/>
      <rgbColor rgb="FFE0F7FA"/>
      <rgbColor rgb="FF660066"/>
      <rgbColor rgb="FFFFEBEE"/>
      <rgbColor rgb="FF0066CC"/>
      <rgbColor rgb="FFC8E6C9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1F5FE"/>
      <rgbColor rgb="FFE0F2F1"/>
      <rgbColor rgb="FFFFF8E1"/>
      <rgbColor rgb="FFE8EAF6"/>
      <rgbColor rgb="FFFCE4EC"/>
      <rgbColor rgb="FFF3E5F5"/>
      <rgbColor rgb="FFFFCDD2"/>
      <rgbColor rgb="FF3366FF"/>
      <rgbColor rgb="FFF5F5F5"/>
      <rgbColor rgb="FFE8F5E9"/>
      <rgbColor rgb="FFFBE9E7"/>
      <rgbColor rgb="FFF1F8E9"/>
      <rgbColor rgb="FFE65100"/>
      <rgbColor rgb="FF666699"/>
      <rgbColor rgb="FFE3F2FD"/>
      <rgbColor rgb="FF1B3A6B"/>
      <rgbColor rgb="FF339966"/>
      <rgbColor rgb="FF003300"/>
      <rgbColor rgb="FF333300"/>
      <rgbColor rgb="FFB71C1C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zoomScaleNormal="100" workbookViewId="0">
      <pane ySplit="2" topLeftCell="A3" activePane="bottomLeft" state="frozen"/>
      <selection pane="bottomLeft" activeCell="A12" sqref="A12:L12"/>
    </sheetView>
  </sheetViews>
  <sheetFormatPr defaultColWidth="8.6640625" defaultRowHeight="14.4" x14ac:dyDescent="0.3"/>
  <cols>
    <col min="1" max="1" width="26" customWidth="1"/>
    <col min="2" max="2" width="2" customWidth="1"/>
    <col min="3" max="3" width="14" customWidth="1"/>
    <col min="4" max="4" width="2" customWidth="1"/>
    <col min="5" max="7" width="10" customWidth="1"/>
    <col min="8" max="8" width="2" customWidth="1"/>
    <col min="9" max="9" width="26" customWidth="1"/>
    <col min="10" max="11" width="8" customWidth="1"/>
    <col min="12" max="12" width="10" customWidth="1"/>
  </cols>
  <sheetData>
    <row r="1" spans="1:12" ht="42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24" customHeight="1" x14ac:dyDescent="0.3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2" x14ac:dyDescent="0.3">
      <c r="A4" s="57" t="s">
        <v>2</v>
      </c>
      <c r="B4" s="57"/>
      <c r="C4" s="57"/>
      <c r="E4" s="58" t="s">
        <v>3</v>
      </c>
      <c r="F4" s="58"/>
      <c r="G4" s="58"/>
      <c r="I4" s="59" t="s">
        <v>4</v>
      </c>
      <c r="J4" s="59"/>
      <c r="K4" s="59"/>
      <c r="L4" s="59"/>
    </row>
    <row r="5" spans="1:12" ht="15.6" x14ac:dyDescent="0.3">
      <c r="A5" s="1" t="s">
        <v>5</v>
      </c>
      <c r="B5" s="2"/>
      <c r="C5" s="3">
        <f>COUNTA('📅 30-Day Tracker'!A3:A34)</f>
        <v>32</v>
      </c>
      <c r="E5" s="4" t="s">
        <v>6</v>
      </c>
      <c r="F5" s="4" t="s">
        <v>7</v>
      </c>
      <c r="G5" s="4" t="s">
        <v>8</v>
      </c>
      <c r="I5" s="5" t="s">
        <v>9</v>
      </c>
      <c r="J5" s="6"/>
      <c r="K5" s="6"/>
      <c r="L5" s="7">
        <f>SUMIF('📅 30-Day Tracker'!Q:Q,"&lt;&gt;",'📅 30-Day Tracker'!F:F)</f>
        <v>0</v>
      </c>
    </row>
    <row r="6" spans="1:12" ht="15.6" x14ac:dyDescent="0.3">
      <c r="A6" s="1" t="s">
        <v>10</v>
      </c>
      <c r="B6" s="2"/>
      <c r="C6" s="3">
        <f>COUNTIF('📅 30-Day Tracker'!Q:Q,"Done")</f>
        <v>0</v>
      </c>
      <c r="E6" s="8" t="s">
        <v>11</v>
      </c>
      <c r="F6" s="9">
        <f>COUNTIFS('📅 30-Day Tracker'!B:B,"Week 1",'📅 30-Day Tracker'!Q:Q,"Done")</f>
        <v>0</v>
      </c>
      <c r="G6" s="10">
        <f>COUNTIF('📅 30-Day Tracker'!B:B,"Week 1")</f>
        <v>9</v>
      </c>
      <c r="I6" s="5" t="s">
        <v>12</v>
      </c>
      <c r="J6" s="6"/>
      <c r="K6" s="6"/>
      <c r="L6" s="7">
        <f>SUMIF('📅 30-Day Tracker'!Q:Q,"&lt;&gt;",'📅 30-Day Tracker'!H:H)</f>
        <v>0</v>
      </c>
    </row>
    <row r="7" spans="1:12" ht="15.6" x14ac:dyDescent="0.3">
      <c r="A7" s="1" t="s">
        <v>13</v>
      </c>
      <c r="B7" s="2"/>
      <c r="C7" s="3">
        <f>COUNTIF('📅 30-Day Tracker'!Q:Q,"In Progress")</f>
        <v>0</v>
      </c>
      <c r="E7" s="8" t="s">
        <v>14</v>
      </c>
      <c r="F7" s="9">
        <f>COUNTIFS('📅 30-Day Tracker'!B:B,"Week 2",'📅 30-Day Tracker'!Q:Q,"Done")</f>
        <v>0</v>
      </c>
      <c r="G7" s="10">
        <f>COUNTIF('📅 30-Day Tracker'!B:B,"Week 2")</f>
        <v>7</v>
      </c>
      <c r="I7" s="5" t="s">
        <v>15</v>
      </c>
      <c r="J7" s="6"/>
      <c r="K7" s="6"/>
      <c r="L7" s="7">
        <f>SUM('⏱ Time Log'!C:C)</f>
        <v>28</v>
      </c>
    </row>
    <row r="8" spans="1:12" ht="15.6" x14ac:dyDescent="0.3">
      <c r="A8" s="1" t="s">
        <v>16</v>
      </c>
      <c r="B8" s="2"/>
      <c r="C8" s="3">
        <f>COUNTIF('📅 30-Day Tracker'!Q:Q,"To Do")</f>
        <v>0</v>
      </c>
      <c r="E8" s="8" t="s">
        <v>17</v>
      </c>
      <c r="F8" s="9">
        <f>COUNTIFS('📅 30-Day Tracker'!B:B,"Week 3",'📅 30-Day Tracker'!Q:Q,"Done")</f>
        <v>0</v>
      </c>
      <c r="G8" s="10">
        <f>COUNTIF('📅 30-Day Tracker'!B:B,"Week 3")</f>
        <v>7</v>
      </c>
      <c r="I8" s="5" t="s">
        <v>18</v>
      </c>
      <c r="J8" s="6"/>
      <c r="K8" s="6"/>
      <c r="L8" s="7">
        <f>SUM('⏱ Time Log'!D:D)</f>
        <v>117.5</v>
      </c>
    </row>
    <row r="9" spans="1:12" ht="15.6" x14ac:dyDescent="0.3">
      <c r="A9" s="1" t="s">
        <v>19</v>
      </c>
      <c r="B9" s="2"/>
      <c r="C9" s="3">
        <f>COUNTIF('📅 30-Day Tracker'!Q:Q,"Blocked")</f>
        <v>0</v>
      </c>
      <c r="E9" s="8" t="s">
        <v>20</v>
      </c>
      <c r="F9" s="9">
        <f>COUNTIFS('📅 30-Day Tracker'!B:B,"Week 4",'📅 30-Day Tracker'!Q:Q,"Done")</f>
        <v>0</v>
      </c>
      <c r="G9" s="10">
        <f>COUNTIF('📅 30-Day Tracker'!B:B,"Week 4")</f>
        <v>9</v>
      </c>
      <c r="I9" s="5" t="s">
        <v>21</v>
      </c>
      <c r="J9" s="6"/>
      <c r="K9" s="6"/>
      <c r="L9" s="7">
        <f>SUM('⏱ Time Log'!E:E)</f>
        <v>13</v>
      </c>
    </row>
    <row r="10" spans="1:12" ht="15.6" x14ac:dyDescent="0.3">
      <c r="A10" s="1" t="s">
        <v>22</v>
      </c>
      <c r="B10" s="2"/>
      <c r="C10" s="11">
        <f>IFERROR(C6/C5,0)</f>
        <v>0</v>
      </c>
      <c r="I10" s="5" t="s">
        <v>23</v>
      </c>
      <c r="J10" s="6"/>
      <c r="K10" s="6"/>
      <c r="L10" s="7">
        <f>SUM('⏱ Time Log'!F:F)</f>
        <v>158.5</v>
      </c>
    </row>
    <row r="12" spans="1:12" x14ac:dyDescent="0.3">
      <c r="A12" s="55" t="s">
        <v>24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</row>
  </sheetData>
  <mergeCells count="6">
    <mergeCell ref="A12:L12"/>
    <mergeCell ref="A1:L1"/>
    <mergeCell ref="A2:L2"/>
    <mergeCell ref="A4:C4"/>
    <mergeCell ref="E4:G4"/>
    <mergeCell ref="I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showGridLines="0" tabSelected="1" zoomScaleNormal="100" workbookViewId="0">
      <pane xSplit="3" ySplit="2" topLeftCell="H9" activePane="bottomRight" state="frozen"/>
      <selection pane="topRight" activeCell="E1" sqref="E1"/>
      <selection pane="bottomLeft" activeCell="A3" sqref="A3"/>
      <selection pane="bottomRight" activeCell="P14" sqref="P14"/>
    </sheetView>
  </sheetViews>
  <sheetFormatPr defaultColWidth="8.6640625" defaultRowHeight="14.4" x14ac:dyDescent="0.3"/>
  <cols>
    <col min="1" max="1" width="5" customWidth="1"/>
    <col min="2" max="2" width="8" customWidth="1"/>
    <col min="3" max="3" width="5" customWidth="1"/>
    <col min="4" max="4" width="15" customWidth="1"/>
    <col min="5" max="5" width="22" customWidth="1"/>
    <col min="6" max="6" width="10.44140625" bestFit="1" customWidth="1"/>
    <col min="7" max="7" width="30" customWidth="1"/>
    <col min="8" max="8" width="9.88671875" bestFit="1" customWidth="1"/>
    <col min="9" max="9" width="30" customWidth="1"/>
    <col min="10" max="10" width="22" customWidth="1"/>
    <col min="11" max="11" width="30" customWidth="1"/>
    <col min="12" max="12" width="14" customWidth="1"/>
    <col min="13" max="13" width="11.88671875" bestFit="1" customWidth="1"/>
    <col min="14" max="14" width="10" customWidth="1"/>
    <col min="15" max="15" width="8" customWidth="1"/>
    <col min="16" max="16" width="12" customWidth="1"/>
    <col min="17" max="17" width="18" customWidth="1"/>
    <col min="18" max="18" width="22" customWidth="1"/>
  </cols>
  <sheetData>
    <row r="1" spans="1:18" ht="36" customHeight="1" thickBot="1" x14ac:dyDescent="0.35">
      <c r="A1" s="54" t="s">
        <v>25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31.5" customHeight="1" thickBot="1" x14ac:dyDescent="0.35">
      <c r="A2" s="12" t="s">
        <v>26</v>
      </c>
      <c r="B2" s="12" t="s">
        <v>6</v>
      </c>
      <c r="C2" s="12" t="s">
        <v>27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2" t="s">
        <v>34</v>
      </c>
      <c r="J2" s="12" t="s">
        <v>35</v>
      </c>
      <c r="K2" s="12" t="s">
        <v>36</v>
      </c>
      <c r="L2" s="12" t="s">
        <v>37</v>
      </c>
      <c r="M2" s="12" t="s">
        <v>38</v>
      </c>
      <c r="N2" s="12" t="s">
        <v>39</v>
      </c>
      <c r="O2" s="12" t="s">
        <v>40</v>
      </c>
      <c r="P2" s="12" t="s">
        <v>41</v>
      </c>
      <c r="Q2" s="12" t="s">
        <v>42</v>
      </c>
      <c r="R2" s="12" t="s">
        <v>43</v>
      </c>
    </row>
    <row r="3" spans="1:18" ht="45.75" customHeight="1" x14ac:dyDescent="0.3">
      <c r="A3" s="13">
        <v>1</v>
      </c>
      <c r="B3" s="13" t="s">
        <v>11</v>
      </c>
      <c r="C3" s="13">
        <v>1</v>
      </c>
      <c r="D3" s="13" t="s">
        <v>44</v>
      </c>
      <c r="E3" s="13" t="s">
        <v>45</v>
      </c>
      <c r="F3" s="13">
        <v>1</v>
      </c>
      <c r="G3" s="13" t="s">
        <v>46</v>
      </c>
      <c r="H3" s="13">
        <v>4</v>
      </c>
      <c r="I3" s="13" t="s">
        <v>47</v>
      </c>
      <c r="J3" s="13" t="s">
        <v>48</v>
      </c>
      <c r="K3" s="13" t="s">
        <v>49</v>
      </c>
      <c r="L3" s="13" t="s">
        <v>50</v>
      </c>
      <c r="M3" s="13" t="s">
        <v>51</v>
      </c>
      <c r="N3" s="14" t="s">
        <v>52</v>
      </c>
      <c r="O3" s="15" t="s">
        <v>53</v>
      </c>
      <c r="P3" s="13" t="s">
        <v>7</v>
      </c>
      <c r="Q3" s="13"/>
      <c r="R3" s="13"/>
    </row>
    <row r="4" spans="1:18" ht="45.75" customHeight="1" x14ac:dyDescent="0.3">
      <c r="A4" s="16">
        <v>2</v>
      </c>
      <c r="B4" s="16" t="s">
        <v>11</v>
      </c>
      <c r="C4" s="16">
        <v>1</v>
      </c>
      <c r="D4" s="16" t="s">
        <v>44</v>
      </c>
      <c r="E4" s="16" t="s">
        <v>55</v>
      </c>
      <c r="F4" s="16">
        <v>0.5</v>
      </c>
      <c r="G4" s="16" t="s">
        <v>56</v>
      </c>
      <c r="H4" s="16">
        <v>0.5</v>
      </c>
      <c r="I4" s="16" t="s">
        <v>57</v>
      </c>
      <c r="J4" s="16" t="s">
        <v>58</v>
      </c>
      <c r="K4" s="16" t="s">
        <v>59</v>
      </c>
      <c r="L4" s="16" t="s">
        <v>60</v>
      </c>
      <c r="M4" s="16" t="s">
        <v>51</v>
      </c>
      <c r="N4" s="14" t="s">
        <v>52</v>
      </c>
      <c r="O4" s="17" t="s">
        <v>61</v>
      </c>
      <c r="P4" s="16" t="s">
        <v>7</v>
      </c>
      <c r="Q4" s="16"/>
      <c r="R4" s="16"/>
    </row>
    <row r="5" spans="1:18" ht="45.75" customHeight="1" x14ac:dyDescent="0.3">
      <c r="A5" s="13">
        <v>3</v>
      </c>
      <c r="B5" s="13" t="s">
        <v>11</v>
      </c>
      <c r="C5" s="13">
        <v>2</v>
      </c>
      <c r="D5" s="13" t="s">
        <v>62</v>
      </c>
      <c r="E5" s="13" t="s">
        <v>63</v>
      </c>
      <c r="F5" s="13">
        <v>1.5</v>
      </c>
      <c r="G5" s="13" t="s">
        <v>64</v>
      </c>
      <c r="H5" s="13">
        <v>3.5</v>
      </c>
      <c r="I5" s="13" t="s">
        <v>65</v>
      </c>
      <c r="J5" s="13" t="s">
        <v>66</v>
      </c>
      <c r="K5" s="13" t="s">
        <v>67</v>
      </c>
      <c r="L5" s="13" t="s">
        <v>60</v>
      </c>
      <c r="M5" s="13" t="s">
        <v>68</v>
      </c>
      <c r="N5" s="14" t="s">
        <v>52</v>
      </c>
      <c r="O5" s="15" t="s">
        <v>53</v>
      </c>
      <c r="P5" s="13" t="s">
        <v>7</v>
      </c>
      <c r="Q5" s="13"/>
      <c r="R5" s="13"/>
    </row>
    <row r="6" spans="1:18" ht="45.75" customHeight="1" x14ac:dyDescent="0.3">
      <c r="A6" s="16">
        <v>4</v>
      </c>
      <c r="B6" s="16" t="s">
        <v>11</v>
      </c>
      <c r="C6" s="16">
        <v>2</v>
      </c>
      <c r="D6" s="16" t="s">
        <v>62</v>
      </c>
      <c r="E6" s="16" t="s">
        <v>69</v>
      </c>
      <c r="F6" s="16">
        <v>0.5</v>
      </c>
      <c r="G6" s="16" t="s">
        <v>70</v>
      </c>
      <c r="H6" s="16">
        <v>0.5</v>
      </c>
      <c r="I6" s="16" t="s">
        <v>71</v>
      </c>
      <c r="J6" s="16" t="s">
        <v>72</v>
      </c>
      <c r="K6" s="16" t="s">
        <v>73</v>
      </c>
      <c r="L6" s="16" t="s">
        <v>60</v>
      </c>
      <c r="M6" s="16" t="s">
        <v>51</v>
      </c>
      <c r="N6" s="14" t="s">
        <v>52</v>
      </c>
      <c r="O6" s="17" t="s">
        <v>61</v>
      </c>
      <c r="P6" s="16" t="s">
        <v>7</v>
      </c>
      <c r="Q6" s="16"/>
      <c r="R6" s="16"/>
    </row>
    <row r="7" spans="1:18" ht="45.75" customHeight="1" x14ac:dyDescent="0.3">
      <c r="A7" s="13">
        <v>5</v>
      </c>
      <c r="B7" s="13" t="s">
        <v>11</v>
      </c>
      <c r="C7" s="13">
        <v>3</v>
      </c>
      <c r="D7" s="13" t="s">
        <v>62</v>
      </c>
      <c r="E7" s="13" t="s">
        <v>74</v>
      </c>
      <c r="F7" s="13">
        <v>1.5</v>
      </c>
      <c r="G7" s="13" t="s">
        <v>75</v>
      </c>
      <c r="H7" s="13">
        <v>3.5</v>
      </c>
      <c r="I7" s="13" t="s">
        <v>76</v>
      </c>
      <c r="J7" s="13" t="s">
        <v>77</v>
      </c>
      <c r="K7" s="13" t="s">
        <v>78</v>
      </c>
      <c r="L7" s="13" t="s">
        <v>79</v>
      </c>
      <c r="M7" s="13" t="s">
        <v>68</v>
      </c>
      <c r="N7" s="14" t="s">
        <v>52</v>
      </c>
      <c r="O7" s="15" t="s">
        <v>53</v>
      </c>
      <c r="P7" s="13" t="s">
        <v>7</v>
      </c>
      <c r="Q7" s="13"/>
      <c r="R7" s="13"/>
    </row>
    <row r="8" spans="1:18" ht="45.75" customHeight="1" x14ac:dyDescent="0.3">
      <c r="A8" s="16">
        <v>6</v>
      </c>
      <c r="B8" s="16" t="s">
        <v>11</v>
      </c>
      <c r="C8" s="16">
        <v>4</v>
      </c>
      <c r="D8" s="16" t="s">
        <v>62</v>
      </c>
      <c r="E8" s="16" t="s">
        <v>80</v>
      </c>
      <c r="F8" s="16">
        <v>1</v>
      </c>
      <c r="G8" s="16" t="s">
        <v>81</v>
      </c>
      <c r="H8" s="16">
        <v>4</v>
      </c>
      <c r="I8" s="16" t="s">
        <v>82</v>
      </c>
      <c r="J8" s="16" t="s">
        <v>83</v>
      </c>
      <c r="K8" s="16" t="s">
        <v>84</v>
      </c>
      <c r="L8" s="16" t="s">
        <v>79</v>
      </c>
      <c r="M8" s="16" t="s">
        <v>68</v>
      </c>
      <c r="N8" s="14" t="s">
        <v>52</v>
      </c>
      <c r="O8" s="15" t="s">
        <v>53</v>
      </c>
      <c r="P8" s="16" t="s">
        <v>7</v>
      </c>
      <c r="Q8" s="16"/>
      <c r="R8" s="16"/>
    </row>
    <row r="9" spans="1:18" ht="45.75" customHeight="1" x14ac:dyDescent="0.3">
      <c r="A9" s="13">
        <v>7</v>
      </c>
      <c r="B9" s="13" t="s">
        <v>11</v>
      </c>
      <c r="C9" s="13">
        <v>5</v>
      </c>
      <c r="D9" s="13" t="s">
        <v>85</v>
      </c>
      <c r="E9" s="13" t="s">
        <v>86</v>
      </c>
      <c r="F9" s="13">
        <v>1</v>
      </c>
      <c r="G9" s="13" t="s">
        <v>87</v>
      </c>
      <c r="H9" s="13">
        <v>4</v>
      </c>
      <c r="I9" s="13" t="s">
        <v>88</v>
      </c>
      <c r="J9" s="13" t="s">
        <v>89</v>
      </c>
      <c r="K9" s="13" t="s">
        <v>90</v>
      </c>
      <c r="L9" s="13" t="s">
        <v>91</v>
      </c>
      <c r="M9" s="13" t="s">
        <v>68</v>
      </c>
      <c r="N9" s="14" t="s">
        <v>52</v>
      </c>
      <c r="O9" s="15" t="s">
        <v>53</v>
      </c>
      <c r="P9" s="13" t="s">
        <v>7</v>
      </c>
      <c r="Q9" s="13"/>
      <c r="R9" s="13"/>
    </row>
    <row r="10" spans="1:18" ht="45.75" customHeight="1" x14ac:dyDescent="0.3">
      <c r="A10" s="16">
        <v>8</v>
      </c>
      <c r="B10" s="16" t="s">
        <v>11</v>
      </c>
      <c r="C10" s="16">
        <v>6</v>
      </c>
      <c r="D10" s="16" t="s">
        <v>85</v>
      </c>
      <c r="E10" s="16" t="s">
        <v>92</v>
      </c>
      <c r="F10" s="16">
        <v>1</v>
      </c>
      <c r="G10" s="16" t="s">
        <v>93</v>
      </c>
      <c r="H10" s="16">
        <v>4</v>
      </c>
      <c r="I10" s="16" t="s">
        <v>94</v>
      </c>
      <c r="J10" s="16" t="s">
        <v>95</v>
      </c>
      <c r="K10" s="16" t="s">
        <v>96</v>
      </c>
      <c r="L10" s="16" t="s">
        <v>97</v>
      </c>
      <c r="M10" s="16" t="s">
        <v>68</v>
      </c>
      <c r="N10" s="14" t="s">
        <v>52</v>
      </c>
      <c r="O10" s="17" t="s">
        <v>61</v>
      </c>
      <c r="P10" s="16" t="s">
        <v>7</v>
      </c>
      <c r="Q10" s="16"/>
      <c r="R10" s="16"/>
    </row>
    <row r="11" spans="1:18" ht="45.75" customHeight="1" x14ac:dyDescent="0.3">
      <c r="A11" s="13">
        <v>9</v>
      </c>
      <c r="B11" s="13" t="s">
        <v>11</v>
      </c>
      <c r="C11" s="13">
        <v>7</v>
      </c>
      <c r="D11" s="13" t="s">
        <v>85</v>
      </c>
      <c r="E11" s="13" t="s">
        <v>98</v>
      </c>
      <c r="F11" s="13">
        <v>0.5</v>
      </c>
      <c r="G11" s="13" t="s">
        <v>99</v>
      </c>
      <c r="H11" s="13">
        <v>2.5</v>
      </c>
      <c r="I11" s="13" t="s">
        <v>100</v>
      </c>
      <c r="J11" s="13" t="s">
        <v>101</v>
      </c>
      <c r="K11" s="13" t="s">
        <v>102</v>
      </c>
      <c r="L11" s="13" t="s">
        <v>103</v>
      </c>
      <c r="M11" s="13" t="s">
        <v>68</v>
      </c>
      <c r="N11" s="15" t="s">
        <v>53</v>
      </c>
      <c r="O11" s="17" t="s">
        <v>61</v>
      </c>
      <c r="P11" s="13" t="s">
        <v>7</v>
      </c>
      <c r="Q11" s="13"/>
      <c r="R11" s="13"/>
    </row>
    <row r="12" spans="1:18" ht="45.75" customHeight="1" x14ac:dyDescent="0.3">
      <c r="A12" s="16">
        <v>10</v>
      </c>
      <c r="B12" s="16" t="s">
        <v>14</v>
      </c>
      <c r="C12" s="16">
        <v>8</v>
      </c>
      <c r="D12" s="16" t="s">
        <v>104</v>
      </c>
      <c r="E12" s="16" t="s">
        <v>105</v>
      </c>
      <c r="F12" s="16">
        <v>1</v>
      </c>
      <c r="G12" s="16" t="s">
        <v>106</v>
      </c>
      <c r="H12" s="16">
        <v>4</v>
      </c>
      <c r="I12" s="16" t="s">
        <v>107</v>
      </c>
      <c r="J12" s="16" t="s">
        <v>108</v>
      </c>
      <c r="K12" s="16" t="s">
        <v>109</v>
      </c>
      <c r="L12" s="16" t="s">
        <v>60</v>
      </c>
      <c r="M12" s="16" t="s">
        <v>68</v>
      </c>
      <c r="N12" s="14" t="s">
        <v>52</v>
      </c>
      <c r="O12" s="17" t="s">
        <v>61</v>
      </c>
      <c r="P12" s="16" t="s">
        <v>7</v>
      </c>
      <c r="Q12" s="16"/>
      <c r="R12" s="16"/>
    </row>
    <row r="13" spans="1:18" ht="45.75" customHeight="1" x14ac:dyDescent="0.3">
      <c r="A13" s="13">
        <v>11</v>
      </c>
      <c r="B13" s="13" t="s">
        <v>14</v>
      </c>
      <c r="C13" s="13">
        <v>9</v>
      </c>
      <c r="D13" s="13" t="s">
        <v>110</v>
      </c>
      <c r="E13" s="13" t="s">
        <v>111</v>
      </c>
      <c r="F13" s="13">
        <v>1.5</v>
      </c>
      <c r="G13" s="13" t="s">
        <v>112</v>
      </c>
      <c r="H13" s="13">
        <v>3.5</v>
      </c>
      <c r="I13" s="13" t="s">
        <v>113</v>
      </c>
      <c r="J13" s="13" t="s">
        <v>114</v>
      </c>
      <c r="K13" s="13" t="s">
        <v>115</v>
      </c>
      <c r="L13" s="13" t="s">
        <v>116</v>
      </c>
      <c r="M13" s="13" t="s">
        <v>68</v>
      </c>
      <c r="N13" s="14" t="s">
        <v>52</v>
      </c>
      <c r="O13" s="14" t="s">
        <v>52</v>
      </c>
      <c r="P13" s="13" t="s">
        <v>7</v>
      </c>
      <c r="Q13" s="13"/>
      <c r="R13" s="13"/>
    </row>
    <row r="14" spans="1:18" ht="45.75" customHeight="1" x14ac:dyDescent="0.3">
      <c r="A14" s="16">
        <v>12</v>
      </c>
      <c r="B14" s="16" t="s">
        <v>14</v>
      </c>
      <c r="C14" s="16">
        <v>10</v>
      </c>
      <c r="D14" s="16" t="s">
        <v>110</v>
      </c>
      <c r="E14" s="16" t="s">
        <v>117</v>
      </c>
      <c r="F14" s="16">
        <v>0.5</v>
      </c>
      <c r="G14" s="16" t="s">
        <v>118</v>
      </c>
      <c r="H14" s="16">
        <v>4.5</v>
      </c>
      <c r="I14" s="16" t="s">
        <v>119</v>
      </c>
      <c r="J14" s="16" t="s">
        <v>120</v>
      </c>
      <c r="K14" s="16" t="s">
        <v>121</v>
      </c>
      <c r="L14" s="16" t="s">
        <v>122</v>
      </c>
      <c r="M14" s="16" t="s">
        <v>68</v>
      </c>
      <c r="N14" s="14" t="s">
        <v>52</v>
      </c>
      <c r="O14" s="15" t="s">
        <v>53</v>
      </c>
      <c r="P14" s="16" t="s">
        <v>1013</v>
      </c>
      <c r="Q14" s="16"/>
      <c r="R14" s="16"/>
    </row>
    <row r="15" spans="1:18" ht="45.75" customHeight="1" x14ac:dyDescent="0.3">
      <c r="A15" s="13">
        <v>13</v>
      </c>
      <c r="B15" s="13" t="s">
        <v>14</v>
      </c>
      <c r="C15" s="13">
        <v>11</v>
      </c>
      <c r="D15" s="13" t="s">
        <v>123</v>
      </c>
      <c r="E15" s="13" t="s">
        <v>124</v>
      </c>
      <c r="F15" s="13">
        <v>1.5</v>
      </c>
      <c r="G15" s="13" t="s">
        <v>125</v>
      </c>
      <c r="H15" s="13">
        <v>3.5</v>
      </c>
      <c r="I15" s="13" t="s">
        <v>126</v>
      </c>
      <c r="J15" s="13" t="s">
        <v>127</v>
      </c>
      <c r="K15" s="13" t="s">
        <v>128</v>
      </c>
      <c r="L15" s="13" t="s">
        <v>129</v>
      </c>
      <c r="M15" s="13" t="s">
        <v>68</v>
      </c>
      <c r="N15" s="14" t="s">
        <v>52</v>
      </c>
      <c r="O15" s="14" t="s">
        <v>52</v>
      </c>
      <c r="P15" s="13" t="s">
        <v>54</v>
      </c>
      <c r="Q15" s="13"/>
      <c r="R15" s="13"/>
    </row>
    <row r="16" spans="1:18" ht="45.75" customHeight="1" x14ac:dyDescent="0.3">
      <c r="A16" s="16">
        <v>14</v>
      </c>
      <c r="B16" s="16" t="s">
        <v>14</v>
      </c>
      <c r="C16" s="16">
        <v>12</v>
      </c>
      <c r="D16" s="16" t="s">
        <v>123</v>
      </c>
      <c r="E16" s="16" t="s">
        <v>130</v>
      </c>
      <c r="F16" s="16">
        <v>0.5</v>
      </c>
      <c r="G16" s="16" t="s">
        <v>131</v>
      </c>
      <c r="H16" s="16">
        <v>4.5</v>
      </c>
      <c r="I16" s="16" t="s">
        <v>132</v>
      </c>
      <c r="J16" s="16" t="s">
        <v>133</v>
      </c>
      <c r="K16" s="16" t="s">
        <v>134</v>
      </c>
      <c r="L16" s="16" t="s">
        <v>135</v>
      </c>
      <c r="M16" s="16" t="s">
        <v>68</v>
      </c>
      <c r="N16" s="14" t="s">
        <v>52</v>
      </c>
      <c r="O16" s="15" t="s">
        <v>53</v>
      </c>
      <c r="P16" s="16" t="s">
        <v>54</v>
      </c>
      <c r="Q16" s="16"/>
      <c r="R16" s="16"/>
    </row>
    <row r="17" spans="1:18" ht="45.75" customHeight="1" x14ac:dyDescent="0.3">
      <c r="A17" s="13">
        <v>15</v>
      </c>
      <c r="B17" s="13" t="s">
        <v>14</v>
      </c>
      <c r="C17" s="13">
        <v>13</v>
      </c>
      <c r="D17" s="13" t="s">
        <v>136</v>
      </c>
      <c r="E17" s="13" t="s">
        <v>137</v>
      </c>
      <c r="F17" s="13">
        <v>1.5</v>
      </c>
      <c r="G17" s="13" t="s">
        <v>138</v>
      </c>
      <c r="H17" s="13">
        <v>3.5</v>
      </c>
      <c r="I17" s="13" t="s">
        <v>139</v>
      </c>
      <c r="J17" s="13" t="s">
        <v>140</v>
      </c>
      <c r="K17" s="13" t="s">
        <v>141</v>
      </c>
      <c r="L17" s="13" t="s">
        <v>129</v>
      </c>
      <c r="M17" s="13" t="s">
        <v>68</v>
      </c>
      <c r="N17" s="14" t="s">
        <v>52</v>
      </c>
      <c r="O17" s="14" t="s">
        <v>52</v>
      </c>
      <c r="P17" s="13" t="s">
        <v>54</v>
      </c>
      <c r="Q17" s="13"/>
      <c r="R17" s="13"/>
    </row>
    <row r="18" spans="1:18" ht="45.75" customHeight="1" x14ac:dyDescent="0.3">
      <c r="A18" s="16">
        <v>16</v>
      </c>
      <c r="B18" s="16" t="s">
        <v>14</v>
      </c>
      <c r="C18" s="16">
        <v>14</v>
      </c>
      <c r="D18" s="16" t="s">
        <v>142</v>
      </c>
      <c r="E18" s="16" t="s">
        <v>143</v>
      </c>
      <c r="F18" s="16">
        <v>1</v>
      </c>
      <c r="G18" s="16" t="s">
        <v>144</v>
      </c>
      <c r="H18" s="16">
        <v>3</v>
      </c>
      <c r="I18" s="16" t="s">
        <v>145</v>
      </c>
      <c r="J18" s="16" t="s">
        <v>146</v>
      </c>
      <c r="K18" s="16" t="s">
        <v>147</v>
      </c>
      <c r="L18" s="16" t="s">
        <v>122</v>
      </c>
      <c r="M18" s="16" t="s">
        <v>68</v>
      </c>
      <c r="N18" s="14" t="s">
        <v>52</v>
      </c>
      <c r="O18" s="15" t="s">
        <v>53</v>
      </c>
      <c r="P18" s="16" t="s">
        <v>54</v>
      </c>
      <c r="Q18" s="16"/>
      <c r="R18" s="16"/>
    </row>
    <row r="19" spans="1:18" ht="45.75" customHeight="1" x14ac:dyDescent="0.3">
      <c r="A19" s="13">
        <v>17</v>
      </c>
      <c r="B19" s="13" t="s">
        <v>17</v>
      </c>
      <c r="C19" s="13">
        <v>15</v>
      </c>
      <c r="D19" s="13" t="s">
        <v>148</v>
      </c>
      <c r="E19" s="13" t="s">
        <v>149</v>
      </c>
      <c r="F19" s="13">
        <v>1.5</v>
      </c>
      <c r="G19" s="13" t="s">
        <v>150</v>
      </c>
      <c r="H19" s="13">
        <v>3.5</v>
      </c>
      <c r="I19" s="13" t="s">
        <v>151</v>
      </c>
      <c r="J19" s="13" t="s">
        <v>152</v>
      </c>
      <c r="K19" s="13" t="s">
        <v>153</v>
      </c>
      <c r="L19" s="13" t="s">
        <v>135</v>
      </c>
      <c r="M19" s="13" t="s">
        <v>68</v>
      </c>
      <c r="N19" s="14" t="s">
        <v>52</v>
      </c>
      <c r="O19" s="15" t="s">
        <v>53</v>
      </c>
      <c r="P19" s="13" t="s">
        <v>54</v>
      </c>
      <c r="Q19" s="13"/>
      <c r="R19" s="13"/>
    </row>
    <row r="20" spans="1:18" ht="45.75" customHeight="1" x14ac:dyDescent="0.3">
      <c r="A20" s="16">
        <v>18</v>
      </c>
      <c r="B20" s="16" t="s">
        <v>17</v>
      </c>
      <c r="C20" s="16">
        <v>16</v>
      </c>
      <c r="D20" s="16" t="s">
        <v>148</v>
      </c>
      <c r="E20" s="16" t="s">
        <v>154</v>
      </c>
      <c r="F20" s="16">
        <v>0.5</v>
      </c>
      <c r="G20" s="16" t="s">
        <v>155</v>
      </c>
      <c r="H20" s="16">
        <v>4.5</v>
      </c>
      <c r="I20" s="16" t="s">
        <v>156</v>
      </c>
      <c r="J20" s="16" t="s">
        <v>157</v>
      </c>
      <c r="K20" s="16" t="s">
        <v>158</v>
      </c>
      <c r="L20" s="16" t="s">
        <v>159</v>
      </c>
      <c r="M20" s="16" t="s">
        <v>68</v>
      </c>
      <c r="N20" s="14" t="s">
        <v>52</v>
      </c>
      <c r="O20" s="17" t="s">
        <v>61</v>
      </c>
      <c r="P20" s="16" t="s">
        <v>54</v>
      </c>
      <c r="Q20" s="16"/>
      <c r="R20" s="16"/>
    </row>
    <row r="21" spans="1:18" ht="45.75" customHeight="1" x14ac:dyDescent="0.3">
      <c r="A21" s="13">
        <v>19</v>
      </c>
      <c r="B21" s="13" t="s">
        <v>17</v>
      </c>
      <c r="C21" s="13">
        <v>17</v>
      </c>
      <c r="D21" s="13" t="s">
        <v>160</v>
      </c>
      <c r="E21" s="13" t="s">
        <v>161</v>
      </c>
      <c r="F21" s="13">
        <v>1</v>
      </c>
      <c r="G21" s="13" t="s">
        <v>162</v>
      </c>
      <c r="H21" s="13">
        <v>4</v>
      </c>
      <c r="I21" s="13" t="s">
        <v>163</v>
      </c>
      <c r="J21" s="13" t="s">
        <v>164</v>
      </c>
      <c r="K21" s="13" t="s">
        <v>165</v>
      </c>
      <c r="L21" s="13" t="s">
        <v>135</v>
      </c>
      <c r="M21" s="13" t="s">
        <v>68</v>
      </c>
      <c r="N21" s="14" t="s">
        <v>52</v>
      </c>
      <c r="O21" s="17" t="s">
        <v>61</v>
      </c>
      <c r="P21" s="13" t="s">
        <v>54</v>
      </c>
      <c r="Q21" s="13"/>
      <c r="R21" s="13"/>
    </row>
    <row r="22" spans="1:18" ht="45.75" customHeight="1" x14ac:dyDescent="0.3">
      <c r="A22" s="16">
        <v>20</v>
      </c>
      <c r="B22" s="16" t="s">
        <v>17</v>
      </c>
      <c r="C22" s="16">
        <v>18</v>
      </c>
      <c r="D22" s="16" t="s">
        <v>166</v>
      </c>
      <c r="E22" s="16" t="s">
        <v>167</v>
      </c>
      <c r="F22" s="16">
        <v>1.5</v>
      </c>
      <c r="G22" s="16" t="s">
        <v>168</v>
      </c>
      <c r="H22" s="16">
        <v>3.5</v>
      </c>
      <c r="I22" s="16" t="s">
        <v>169</v>
      </c>
      <c r="J22" s="16" t="s">
        <v>170</v>
      </c>
      <c r="K22" s="16" t="s">
        <v>171</v>
      </c>
      <c r="L22" s="16" t="s">
        <v>60</v>
      </c>
      <c r="M22" s="16" t="s">
        <v>51</v>
      </c>
      <c r="N22" s="14" t="s">
        <v>52</v>
      </c>
      <c r="O22" s="15" t="s">
        <v>53</v>
      </c>
      <c r="P22" s="16" t="s">
        <v>54</v>
      </c>
      <c r="Q22" s="16"/>
      <c r="R22" s="16"/>
    </row>
    <row r="23" spans="1:18" ht="45.75" customHeight="1" x14ac:dyDescent="0.3">
      <c r="A23" s="13">
        <v>21</v>
      </c>
      <c r="B23" s="13" t="s">
        <v>17</v>
      </c>
      <c r="C23" s="13">
        <v>19</v>
      </c>
      <c r="D23" s="13" t="s">
        <v>166</v>
      </c>
      <c r="E23" s="13" t="s">
        <v>172</v>
      </c>
      <c r="F23" s="13">
        <v>1.5</v>
      </c>
      <c r="G23" s="13" t="s">
        <v>173</v>
      </c>
      <c r="H23" s="13">
        <v>3.5</v>
      </c>
      <c r="I23" s="13" t="s">
        <v>174</v>
      </c>
      <c r="J23" s="13" t="s">
        <v>175</v>
      </c>
      <c r="K23" s="13" t="s">
        <v>176</v>
      </c>
      <c r="L23" s="13" t="s">
        <v>177</v>
      </c>
      <c r="M23" s="13" t="s">
        <v>51</v>
      </c>
      <c r="N23" s="14" t="s">
        <v>52</v>
      </c>
      <c r="O23" s="14" t="s">
        <v>52</v>
      </c>
      <c r="P23" s="13" t="s">
        <v>54</v>
      </c>
      <c r="Q23" s="13"/>
      <c r="R23" s="13"/>
    </row>
    <row r="24" spans="1:18" ht="45.75" customHeight="1" x14ac:dyDescent="0.3">
      <c r="A24" s="16">
        <v>22</v>
      </c>
      <c r="B24" s="16" t="s">
        <v>17</v>
      </c>
      <c r="C24" s="16">
        <v>20</v>
      </c>
      <c r="D24" s="16" t="s">
        <v>166</v>
      </c>
      <c r="E24" s="16" t="s">
        <v>178</v>
      </c>
      <c r="F24" s="16">
        <v>1</v>
      </c>
      <c r="G24" s="16" t="s">
        <v>179</v>
      </c>
      <c r="H24" s="16">
        <v>4</v>
      </c>
      <c r="I24" s="16" t="s">
        <v>180</v>
      </c>
      <c r="J24" s="16" t="s">
        <v>181</v>
      </c>
      <c r="K24" s="16" t="s">
        <v>182</v>
      </c>
      <c r="L24" s="16" t="s">
        <v>183</v>
      </c>
      <c r="M24" s="16" t="s">
        <v>68</v>
      </c>
      <c r="N24" s="14" t="s">
        <v>52</v>
      </c>
      <c r="O24" s="14" t="s">
        <v>52</v>
      </c>
      <c r="P24" s="16" t="s">
        <v>54</v>
      </c>
      <c r="Q24" s="16"/>
      <c r="R24" s="16"/>
    </row>
    <row r="25" spans="1:18" ht="45.75" customHeight="1" x14ac:dyDescent="0.3">
      <c r="A25" s="13">
        <v>23</v>
      </c>
      <c r="B25" s="13" t="s">
        <v>17</v>
      </c>
      <c r="C25" s="13">
        <v>21</v>
      </c>
      <c r="D25" s="13" t="s">
        <v>166</v>
      </c>
      <c r="E25" s="13" t="s">
        <v>184</v>
      </c>
      <c r="F25" s="13">
        <v>0.5</v>
      </c>
      <c r="G25" s="13" t="s">
        <v>185</v>
      </c>
      <c r="H25" s="13">
        <v>2.5</v>
      </c>
      <c r="I25" s="13" t="s">
        <v>186</v>
      </c>
      <c r="J25" s="13" t="s">
        <v>187</v>
      </c>
      <c r="K25" s="13" t="s">
        <v>188</v>
      </c>
      <c r="L25" s="13" t="s">
        <v>189</v>
      </c>
      <c r="M25" s="13" t="s">
        <v>51</v>
      </c>
      <c r="N25" s="15" t="s">
        <v>53</v>
      </c>
      <c r="O25" s="17" t="s">
        <v>61</v>
      </c>
      <c r="P25" s="13" t="s">
        <v>54</v>
      </c>
      <c r="Q25" s="13"/>
      <c r="R25" s="13"/>
    </row>
    <row r="26" spans="1:18" ht="45.75" customHeight="1" x14ac:dyDescent="0.3">
      <c r="A26" s="16">
        <v>24</v>
      </c>
      <c r="B26" s="16" t="s">
        <v>20</v>
      </c>
      <c r="C26" s="16">
        <v>22</v>
      </c>
      <c r="D26" s="16" t="s">
        <v>190</v>
      </c>
      <c r="E26" s="16" t="s">
        <v>191</v>
      </c>
      <c r="F26" s="16">
        <v>1</v>
      </c>
      <c r="G26" s="16" t="s">
        <v>192</v>
      </c>
      <c r="H26" s="16">
        <v>4</v>
      </c>
      <c r="I26" s="16" t="s">
        <v>193</v>
      </c>
      <c r="J26" s="16" t="s">
        <v>194</v>
      </c>
      <c r="K26" s="16" t="s">
        <v>195</v>
      </c>
      <c r="L26" s="16" t="s">
        <v>196</v>
      </c>
      <c r="M26" s="16" t="s">
        <v>68</v>
      </c>
      <c r="N26" s="14" t="s">
        <v>52</v>
      </c>
      <c r="O26" s="17" t="s">
        <v>61</v>
      </c>
      <c r="P26" s="16" t="s">
        <v>54</v>
      </c>
      <c r="Q26" s="16"/>
      <c r="R26" s="16"/>
    </row>
    <row r="27" spans="1:18" ht="45.75" customHeight="1" x14ac:dyDescent="0.3">
      <c r="A27" s="13">
        <v>25</v>
      </c>
      <c r="B27" s="13" t="s">
        <v>20</v>
      </c>
      <c r="C27" s="13">
        <v>23</v>
      </c>
      <c r="D27" s="13" t="s">
        <v>190</v>
      </c>
      <c r="E27" s="13" t="s">
        <v>197</v>
      </c>
      <c r="F27" s="13">
        <v>1</v>
      </c>
      <c r="G27" s="13" t="s">
        <v>198</v>
      </c>
      <c r="H27" s="13">
        <v>4</v>
      </c>
      <c r="I27" s="13" t="s">
        <v>199</v>
      </c>
      <c r="J27" s="13" t="s">
        <v>200</v>
      </c>
      <c r="K27" s="13" t="s">
        <v>201</v>
      </c>
      <c r="L27" s="13" t="s">
        <v>202</v>
      </c>
      <c r="M27" s="13" t="s">
        <v>68</v>
      </c>
      <c r="N27" s="14" t="s">
        <v>52</v>
      </c>
      <c r="O27" s="15" t="s">
        <v>53</v>
      </c>
      <c r="P27" s="13" t="s">
        <v>54</v>
      </c>
      <c r="Q27" s="13"/>
      <c r="R27" s="13"/>
    </row>
    <row r="28" spans="1:18" ht="45.75" customHeight="1" x14ac:dyDescent="0.3">
      <c r="A28" s="16">
        <v>26</v>
      </c>
      <c r="B28" s="16" t="s">
        <v>20</v>
      </c>
      <c r="C28" s="16">
        <v>24</v>
      </c>
      <c r="D28" s="16" t="s">
        <v>190</v>
      </c>
      <c r="E28" s="16" t="s">
        <v>203</v>
      </c>
      <c r="F28" s="16">
        <v>1</v>
      </c>
      <c r="G28" s="16" t="s">
        <v>204</v>
      </c>
      <c r="H28" s="16">
        <v>4</v>
      </c>
      <c r="I28" s="16" t="s">
        <v>205</v>
      </c>
      <c r="J28" s="16" t="s">
        <v>206</v>
      </c>
      <c r="K28" s="16" t="s">
        <v>207</v>
      </c>
      <c r="L28" s="16" t="s">
        <v>208</v>
      </c>
      <c r="M28" s="16" t="s">
        <v>68</v>
      </c>
      <c r="N28" s="14" t="s">
        <v>52</v>
      </c>
      <c r="O28" s="15" t="s">
        <v>53</v>
      </c>
      <c r="P28" s="16" t="s">
        <v>54</v>
      </c>
      <c r="Q28" s="16"/>
      <c r="R28" s="16"/>
    </row>
    <row r="29" spans="1:18" ht="45.75" customHeight="1" x14ac:dyDescent="0.3">
      <c r="A29" s="13">
        <v>27</v>
      </c>
      <c r="B29" s="13" t="s">
        <v>20</v>
      </c>
      <c r="C29" s="13">
        <v>25</v>
      </c>
      <c r="D29" s="13" t="s">
        <v>209</v>
      </c>
      <c r="E29" s="13" t="s">
        <v>210</v>
      </c>
      <c r="F29" s="13">
        <v>1</v>
      </c>
      <c r="G29" s="13" t="s">
        <v>211</v>
      </c>
      <c r="H29" s="13">
        <v>4</v>
      </c>
      <c r="I29" s="13" t="s">
        <v>212</v>
      </c>
      <c r="J29" s="13" t="s">
        <v>213</v>
      </c>
      <c r="K29" s="13" t="s">
        <v>214</v>
      </c>
      <c r="L29" s="13" t="s">
        <v>60</v>
      </c>
      <c r="M29" s="13" t="s">
        <v>51</v>
      </c>
      <c r="N29" s="14" t="s">
        <v>52</v>
      </c>
      <c r="O29" s="14" t="s">
        <v>52</v>
      </c>
      <c r="P29" s="13" t="s">
        <v>54</v>
      </c>
      <c r="Q29" s="13"/>
      <c r="R29" s="13"/>
    </row>
    <row r="30" spans="1:18" ht="45.75" customHeight="1" x14ac:dyDescent="0.3">
      <c r="A30" s="16">
        <v>28</v>
      </c>
      <c r="B30" s="16" t="s">
        <v>20</v>
      </c>
      <c r="C30" s="16">
        <v>26</v>
      </c>
      <c r="D30" s="16" t="s">
        <v>209</v>
      </c>
      <c r="E30" s="16" t="s">
        <v>215</v>
      </c>
      <c r="F30" s="16">
        <v>0.5</v>
      </c>
      <c r="G30" s="16" t="s">
        <v>216</v>
      </c>
      <c r="H30" s="16">
        <v>4.5</v>
      </c>
      <c r="I30" s="16" t="s">
        <v>217</v>
      </c>
      <c r="J30" s="16" t="s">
        <v>218</v>
      </c>
      <c r="K30" s="16" t="s">
        <v>219</v>
      </c>
      <c r="L30" s="16" t="s">
        <v>220</v>
      </c>
      <c r="M30" s="16" t="s">
        <v>51</v>
      </c>
      <c r="N30" s="14" t="s">
        <v>52</v>
      </c>
      <c r="O30" s="14" t="s">
        <v>52</v>
      </c>
      <c r="P30" s="16" t="s">
        <v>54</v>
      </c>
      <c r="Q30" s="16"/>
      <c r="R30" s="16"/>
    </row>
    <row r="31" spans="1:18" ht="45.75" customHeight="1" x14ac:dyDescent="0.3">
      <c r="A31" s="13">
        <v>29</v>
      </c>
      <c r="B31" s="13" t="s">
        <v>20</v>
      </c>
      <c r="C31" s="13">
        <v>27</v>
      </c>
      <c r="D31" s="13" t="s">
        <v>209</v>
      </c>
      <c r="E31" s="13" t="s">
        <v>221</v>
      </c>
      <c r="F31" s="13">
        <v>0.5</v>
      </c>
      <c r="G31" s="13" t="s">
        <v>222</v>
      </c>
      <c r="H31" s="13">
        <v>4.5</v>
      </c>
      <c r="I31" s="13" t="s">
        <v>223</v>
      </c>
      <c r="J31" s="13" t="s">
        <v>224</v>
      </c>
      <c r="K31" s="13" t="s">
        <v>225</v>
      </c>
      <c r="L31" s="13" t="s">
        <v>226</v>
      </c>
      <c r="M31" s="13" t="s">
        <v>51</v>
      </c>
      <c r="N31" s="14" t="s">
        <v>52</v>
      </c>
      <c r="O31" s="15" t="s">
        <v>53</v>
      </c>
      <c r="P31" s="13" t="s">
        <v>54</v>
      </c>
      <c r="Q31" s="13"/>
      <c r="R31" s="13"/>
    </row>
    <row r="32" spans="1:18" ht="45.75" customHeight="1" x14ac:dyDescent="0.3">
      <c r="A32" s="16">
        <v>30</v>
      </c>
      <c r="B32" s="16" t="s">
        <v>20</v>
      </c>
      <c r="C32" s="16">
        <v>28</v>
      </c>
      <c r="D32" s="16" t="s">
        <v>227</v>
      </c>
      <c r="E32" s="16" t="s">
        <v>228</v>
      </c>
      <c r="F32" s="16">
        <v>1</v>
      </c>
      <c r="G32" s="16" t="s">
        <v>229</v>
      </c>
      <c r="H32" s="16">
        <v>4</v>
      </c>
      <c r="I32" s="16" t="s">
        <v>230</v>
      </c>
      <c r="J32" s="16" t="s">
        <v>231</v>
      </c>
      <c r="K32" s="16" t="s">
        <v>232</v>
      </c>
      <c r="L32" s="16" t="s">
        <v>233</v>
      </c>
      <c r="M32" s="16" t="s">
        <v>51</v>
      </c>
      <c r="N32" s="14" t="s">
        <v>52</v>
      </c>
      <c r="O32" s="17" t="s">
        <v>61</v>
      </c>
      <c r="P32" s="16" t="s">
        <v>54</v>
      </c>
      <c r="Q32" s="16"/>
      <c r="R32" s="16"/>
    </row>
    <row r="33" spans="1:18" ht="45.75" customHeight="1" x14ac:dyDescent="0.3">
      <c r="A33" s="13">
        <v>31</v>
      </c>
      <c r="B33" s="13" t="s">
        <v>20</v>
      </c>
      <c r="C33" s="13">
        <v>29</v>
      </c>
      <c r="D33" s="13" t="s">
        <v>227</v>
      </c>
      <c r="E33" s="13" t="s">
        <v>234</v>
      </c>
      <c r="F33" s="13">
        <v>0.5</v>
      </c>
      <c r="G33" s="13" t="s">
        <v>235</v>
      </c>
      <c r="H33" s="13">
        <v>2.5</v>
      </c>
      <c r="I33" s="13" t="s">
        <v>236</v>
      </c>
      <c r="J33" s="13" t="s">
        <v>237</v>
      </c>
      <c r="K33" s="13" t="s">
        <v>238</v>
      </c>
      <c r="L33" s="13" t="s">
        <v>239</v>
      </c>
      <c r="M33" s="13" t="s">
        <v>51</v>
      </c>
      <c r="N33" s="15" t="s">
        <v>53</v>
      </c>
      <c r="O33" s="17" t="s">
        <v>61</v>
      </c>
      <c r="P33" s="13" t="s">
        <v>54</v>
      </c>
      <c r="Q33" s="13"/>
      <c r="R33" s="13"/>
    </row>
    <row r="34" spans="1:18" ht="45.75" customHeight="1" thickBot="1" x14ac:dyDescent="0.35">
      <c r="A34" s="16">
        <v>32</v>
      </c>
      <c r="B34" s="16" t="s">
        <v>20</v>
      </c>
      <c r="C34" s="16">
        <v>30</v>
      </c>
      <c r="D34" s="16" t="s">
        <v>227</v>
      </c>
      <c r="E34" s="16" t="s">
        <v>240</v>
      </c>
      <c r="F34" s="16">
        <v>1</v>
      </c>
      <c r="G34" s="16" t="s">
        <v>241</v>
      </c>
      <c r="H34" s="16">
        <v>4</v>
      </c>
      <c r="I34" s="16" t="s">
        <v>242</v>
      </c>
      <c r="J34" s="16" t="s">
        <v>243</v>
      </c>
      <c r="K34" s="16" t="s">
        <v>244</v>
      </c>
      <c r="L34" s="16" t="s">
        <v>245</v>
      </c>
      <c r="M34" s="16" t="s">
        <v>51</v>
      </c>
      <c r="N34" s="14" t="s">
        <v>52</v>
      </c>
      <c r="O34" s="17" t="s">
        <v>61</v>
      </c>
      <c r="P34" s="16" t="s">
        <v>54</v>
      </c>
      <c r="Q34" s="16"/>
      <c r="R34" s="16"/>
    </row>
    <row r="35" spans="1:18" ht="15" thickBot="1" x14ac:dyDescent="0.35">
      <c r="A35" s="18" t="s">
        <v>246</v>
      </c>
      <c r="B35" s="18"/>
      <c r="C35" s="18"/>
      <c r="D35" s="18"/>
      <c r="E35" s="18"/>
      <c r="F35" s="18">
        <f>SUM(F3:F34)</f>
        <v>31</v>
      </c>
      <c r="G35" s="18"/>
      <c r="H35" s="18">
        <f>SUM(H3:H34)</f>
        <v>114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</row>
  </sheetData>
  <autoFilter ref="A2:R35" xr:uid="{00000000-0009-0000-0000-000001000000}"/>
  <mergeCells count="1">
    <mergeCell ref="A1:R1"/>
  </mergeCells>
  <dataValidations count="3">
    <dataValidation type="list" sqref="P3:P200" xr:uid="{00000000-0002-0000-0100-000000000000}">
      <formula1>"To Do,In Progress,Done,Blocked,Deferred"</formula1>
      <formula2>0</formula2>
    </dataValidation>
    <dataValidation type="list" sqref="N3:O200" xr:uid="{00000000-0002-0000-0100-000001000000}">
      <formula1>"High,Medium,Low"</formula1>
      <formula2>0</formula2>
    </dataValidation>
    <dataValidation type="list" sqref="M3:M200" xr:uid="{00000000-0002-0000-0100-000003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zoomScaleNormal="100" workbookViewId="0">
      <pane ySplit="1" topLeftCell="A6" activePane="bottomLeft" state="frozen"/>
      <selection pane="bottomLeft" activeCell="A5" sqref="A5:J5"/>
    </sheetView>
  </sheetViews>
  <sheetFormatPr defaultColWidth="8.6640625" defaultRowHeight="14.4" x14ac:dyDescent="0.3"/>
  <cols>
    <col min="1" max="1" width="20" customWidth="1"/>
    <col min="2" max="4" width="12" customWidth="1"/>
    <col min="5" max="5" width="15" customWidth="1"/>
    <col min="6" max="6" width="14" customWidth="1"/>
    <col min="7" max="7" width="15.6640625" bestFit="1" customWidth="1"/>
    <col min="8" max="9" width="14" customWidth="1"/>
    <col min="10" max="10" width="42.77734375" customWidth="1"/>
  </cols>
  <sheetData>
    <row r="1" spans="1:10" ht="36" customHeight="1" x14ac:dyDescent="0.3">
      <c r="A1" s="54" t="s">
        <v>247</v>
      </c>
      <c r="B1" s="54"/>
      <c r="C1" s="54"/>
      <c r="D1" s="54"/>
      <c r="E1" s="54"/>
      <c r="F1" s="54"/>
      <c r="G1" s="54"/>
      <c r="H1" s="54"/>
      <c r="I1" s="54"/>
      <c r="J1" s="54"/>
    </row>
    <row r="3" spans="1:10" ht="30" customHeight="1" x14ac:dyDescent="0.3">
      <c r="A3" s="65" t="s">
        <v>248</v>
      </c>
      <c r="B3" s="65"/>
      <c r="C3" s="65"/>
      <c r="D3" s="65"/>
      <c r="E3" s="65"/>
      <c r="F3" s="65"/>
      <c r="G3" s="65"/>
      <c r="H3" s="65"/>
      <c r="I3" s="65"/>
      <c r="J3" s="65"/>
    </row>
    <row r="4" spans="1:10" x14ac:dyDescent="0.3">
      <c r="A4" s="19" t="s">
        <v>249</v>
      </c>
      <c r="B4" s="20">
        <v>6</v>
      </c>
      <c r="C4" s="19" t="s">
        <v>250</v>
      </c>
      <c r="D4" s="20">
        <v>23</v>
      </c>
      <c r="E4" s="19" t="s">
        <v>251</v>
      </c>
      <c r="F4" s="20">
        <v>29</v>
      </c>
      <c r="G4" s="19" t="s">
        <v>252</v>
      </c>
      <c r="H4" s="20">
        <v>4.0999999999999996</v>
      </c>
      <c r="I4" s="19" t="s">
        <v>253</v>
      </c>
      <c r="J4" s="20" t="s">
        <v>254</v>
      </c>
    </row>
    <row r="5" spans="1:10" x14ac:dyDescent="0.3">
      <c r="A5" s="62" t="s">
        <v>255</v>
      </c>
      <c r="B5" s="62"/>
      <c r="C5" s="62"/>
      <c r="D5" s="62"/>
      <c r="E5" s="62"/>
      <c r="F5" s="62"/>
      <c r="G5" s="62"/>
      <c r="H5" s="62"/>
      <c r="I5" s="62"/>
      <c r="J5" s="62"/>
    </row>
    <row r="6" spans="1:10" ht="21.75" customHeight="1" x14ac:dyDescent="0.3">
      <c r="A6" s="60" t="s">
        <v>256</v>
      </c>
      <c r="B6" s="60"/>
      <c r="C6" s="60"/>
      <c r="D6" s="60"/>
      <c r="E6" s="60"/>
      <c r="F6" s="60"/>
      <c r="G6" s="60"/>
      <c r="H6" s="60"/>
      <c r="I6" s="60"/>
      <c r="J6" s="60"/>
    </row>
    <row r="7" spans="1:10" ht="21.75" customHeight="1" x14ac:dyDescent="0.3">
      <c r="A7" s="60" t="s">
        <v>257</v>
      </c>
      <c r="B7" s="60"/>
      <c r="C7" s="60"/>
      <c r="D7" s="60"/>
      <c r="E7" s="60"/>
      <c r="F7" s="60"/>
      <c r="G7" s="60"/>
      <c r="H7" s="60"/>
      <c r="I7" s="60"/>
      <c r="J7" s="60"/>
    </row>
    <row r="8" spans="1:10" ht="21.75" customHeight="1" x14ac:dyDescent="0.3">
      <c r="A8" s="60" t="s">
        <v>258</v>
      </c>
      <c r="B8" s="60"/>
      <c r="C8" s="60"/>
      <c r="D8" s="60"/>
      <c r="E8" s="60"/>
      <c r="F8" s="60"/>
      <c r="G8" s="60"/>
      <c r="H8" s="60"/>
      <c r="I8" s="60"/>
      <c r="J8" s="60"/>
    </row>
    <row r="9" spans="1:10" ht="21.75" customHeight="1" x14ac:dyDescent="0.3">
      <c r="A9" s="60" t="s">
        <v>259</v>
      </c>
      <c r="B9" s="60"/>
      <c r="C9" s="60"/>
      <c r="D9" s="60"/>
      <c r="E9" s="60"/>
      <c r="F9" s="60"/>
      <c r="G9" s="60"/>
      <c r="H9" s="60"/>
      <c r="I9" s="60"/>
      <c r="J9" s="60"/>
    </row>
    <row r="10" spans="1:10" ht="21.75" customHeight="1" x14ac:dyDescent="0.3">
      <c r="A10" s="60" t="s">
        <v>260</v>
      </c>
      <c r="B10" s="60"/>
      <c r="C10" s="60"/>
      <c r="D10" s="60"/>
      <c r="E10" s="60"/>
      <c r="F10" s="60"/>
      <c r="G10" s="60"/>
      <c r="H10" s="60"/>
      <c r="I10" s="60"/>
      <c r="J10" s="60"/>
    </row>
    <row r="11" spans="1:10" ht="21.75" customHeight="1" x14ac:dyDescent="0.3">
      <c r="A11" s="60" t="s">
        <v>261</v>
      </c>
      <c r="B11" s="60"/>
      <c r="C11" s="60"/>
      <c r="D11" s="60"/>
      <c r="E11" s="60"/>
      <c r="F11" s="60"/>
      <c r="G11" s="60"/>
      <c r="H11" s="60"/>
      <c r="I11" s="60"/>
      <c r="J11" s="60"/>
    </row>
    <row r="13" spans="1:10" ht="30" customHeight="1" x14ac:dyDescent="0.3">
      <c r="A13" s="64" t="s">
        <v>262</v>
      </c>
      <c r="B13" s="64"/>
      <c r="C13" s="64"/>
      <c r="D13" s="64"/>
      <c r="E13" s="64"/>
      <c r="F13" s="64"/>
      <c r="G13" s="64"/>
      <c r="H13" s="64"/>
      <c r="I13" s="64"/>
      <c r="J13" s="64"/>
    </row>
    <row r="14" spans="1:10" x14ac:dyDescent="0.3">
      <c r="A14" s="19" t="s">
        <v>249</v>
      </c>
      <c r="B14" s="21">
        <v>7</v>
      </c>
      <c r="C14" s="19" t="s">
        <v>250</v>
      </c>
      <c r="D14" s="21">
        <v>26.5</v>
      </c>
      <c r="E14" s="19" t="s">
        <v>251</v>
      </c>
      <c r="F14" s="21">
        <v>33.5</v>
      </c>
      <c r="G14" s="19" t="s">
        <v>252</v>
      </c>
      <c r="H14" s="21">
        <v>4.8</v>
      </c>
      <c r="I14" s="19" t="s">
        <v>253</v>
      </c>
      <c r="J14" s="21" t="s">
        <v>263</v>
      </c>
    </row>
    <row r="15" spans="1:10" x14ac:dyDescent="0.3">
      <c r="A15" s="62" t="s">
        <v>255</v>
      </c>
      <c r="B15" s="62"/>
      <c r="C15" s="62"/>
      <c r="D15" s="62"/>
      <c r="E15" s="62"/>
      <c r="F15" s="62"/>
      <c r="G15" s="62"/>
      <c r="H15" s="62"/>
      <c r="I15" s="62"/>
      <c r="J15" s="62"/>
    </row>
    <row r="16" spans="1:10" ht="21.75" customHeight="1" x14ac:dyDescent="0.3">
      <c r="A16" s="60" t="s">
        <v>264</v>
      </c>
      <c r="B16" s="60"/>
      <c r="C16" s="60"/>
      <c r="D16" s="60"/>
      <c r="E16" s="60"/>
      <c r="F16" s="60"/>
      <c r="G16" s="60"/>
      <c r="H16" s="60"/>
      <c r="I16" s="60"/>
      <c r="J16" s="60"/>
    </row>
    <row r="17" spans="1:10" ht="21.75" customHeight="1" x14ac:dyDescent="0.3">
      <c r="A17" s="60" t="s">
        <v>265</v>
      </c>
      <c r="B17" s="60"/>
      <c r="C17" s="60"/>
      <c r="D17" s="60"/>
      <c r="E17" s="60"/>
      <c r="F17" s="60"/>
      <c r="G17" s="60"/>
      <c r="H17" s="60"/>
      <c r="I17" s="60"/>
      <c r="J17" s="60"/>
    </row>
    <row r="18" spans="1:10" ht="21.75" customHeight="1" x14ac:dyDescent="0.3">
      <c r="A18" s="60" t="s">
        <v>266</v>
      </c>
      <c r="B18" s="60"/>
      <c r="C18" s="60"/>
      <c r="D18" s="60"/>
      <c r="E18" s="60"/>
      <c r="F18" s="60"/>
      <c r="G18" s="60"/>
      <c r="H18" s="60"/>
      <c r="I18" s="60"/>
      <c r="J18" s="60"/>
    </row>
    <row r="19" spans="1:10" ht="21.75" customHeight="1" x14ac:dyDescent="0.3">
      <c r="A19" s="60" t="s">
        <v>267</v>
      </c>
      <c r="B19" s="60"/>
      <c r="C19" s="60"/>
      <c r="D19" s="60"/>
      <c r="E19" s="60"/>
      <c r="F19" s="60"/>
      <c r="G19" s="60"/>
      <c r="H19" s="60"/>
      <c r="I19" s="60"/>
      <c r="J19" s="60"/>
    </row>
    <row r="20" spans="1:10" ht="21.75" customHeight="1" x14ac:dyDescent="0.3">
      <c r="A20" s="60" t="s">
        <v>268</v>
      </c>
      <c r="B20" s="60"/>
      <c r="C20" s="60"/>
      <c r="D20" s="60"/>
      <c r="E20" s="60"/>
      <c r="F20" s="60"/>
      <c r="G20" s="60"/>
      <c r="H20" s="60"/>
      <c r="I20" s="60"/>
      <c r="J20" s="60"/>
    </row>
    <row r="21" spans="1:10" ht="21.75" customHeight="1" x14ac:dyDescent="0.3">
      <c r="A21" s="60" t="s">
        <v>269</v>
      </c>
      <c r="B21" s="60"/>
      <c r="C21" s="60"/>
      <c r="D21" s="60"/>
      <c r="E21" s="60"/>
      <c r="F21" s="60"/>
      <c r="G21" s="60"/>
      <c r="H21" s="60"/>
      <c r="I21" s="60"/>
      <c r="J21" s="60"/>
    </row>
    <row r="23" spans="1:10" ht="30" customHeight="1" x14ac:dyDescent="0.3">
      <c r="A23" s="63" t="s">
        <v>270</v>
      </c>
      <c r="B23" s="63"/>
      <c r="C23" s="63"/>
      <c r="D23" s="63"/>
      <c r="E23" s="63"/>
      <c r="F23" s="63"/>
      <c r="G23" s="63"/>
      <c r="H23" s="63"/>
      <c r="I23" s="63"/>
      <c r="J23" s="63"/>
    </row>
    <row r="24" spans="1:10" x14ac:dyDescent="0.3">
      <c r="A24" s="19" t="s">
        <v>249</v>
      </c>
      <c r="B24" s="22">
        <v>7</v>
      </c>
      <c r="C24" s="19" t="s">
        <v>250</v>
      </c>
      <c r="D24" s="22">
        <v>25.5</v>
      </c>
      <c r="E24" s="19" t="s">
        <v>251</v>
      </c>
      <c r="F24" s="22">
        <v>32.5</v>
      </c>
      <c r="G24" s="19" t="s">
        <v>252</v>
      </c>
      <c r="H24" s="22">
        <v>4.5999999999999996</v>
      </c>
      <c r="I24" s="19" t="s">
        <v>253</v>
      </c>
      <c r="J24" s="22" t="s">
        <v>271</v>
      </c>
    </row>
    <row r="25" spans="1:10" x14ac:dyDescent="0.3">
      <c r="A25" s="62" t="s">
        <v>255</v>
      </c>
      <c r="B25" s="62"/>
      <c r="C25" s="62"/>
      <c r="D25" s="62"/>
      <c r="E25" s="62"/>
      <c r="F25" s="62"/>
      <c r="G25" s="62"/>
      <c r="H25" s="62"/>
      <c r="I25" s="62"/>
      <c r="J25" s="62"/>
    </row>
    <row r="26" spans="1:10" ht="21.75" customHeight="1" x14ac:dyDescent="0.3">
      <c r="A26" s="60" t="s">
        <v>272</v>
      </c>
      <c r="B26" s="60"/>
      <c r="C26" s="60"/>
      <c r="D26" s="60"/>
      <c r="E26" s="60"/>
      <c r="F26" s="60"/>
      <c r="G26" s="60"/>
      <c r="H26" s="60"/>
      <c r="I26" s="60"/>
      <c r="J26" s="60"/>
    </row>
    <row r="27" spans="1:10" ht="21.75" customHeight="1" x14ac:dyDescent="0.3">
      <c r="A27" s="60" t="s">
        <v>273</v>
      </c>
      <c r="B27" s="60"/>
      <c r="C27" s="60"/>
      <c r="D27" s="60"/>
      <c r="E27" s="60"/>
      <c r="F27" s="60"/>
      <c r="G27" s="60"/>
      <c r="H27" s="60"/>
      <c r="I27" s="60"/>
      <c r="J27" s="60"/>
    </row>
    <row r="28" spans="1:10" ht="21.75" customHeight="1" x14ac:dyDescent="0.3">
      <c r="A28" s="60" t="s">
        <v>274</v>
      </c>
      <c r="B28" s="60"/>
      <c r="C28" s="60"/>
      <c r="D28" s="60"/>
      <c r="E28" s="60"/>
      <c r="F28" s="60"/>
      <c r="G28" s="60"/>
      <c r="H28" s="60"/>
      <c r="I28" s="60"/>
      <c r="J28" s="60"/>
    </row>
    <row r="29" spans="1:10" ht="21.75" customHeight="1" x14ac:dyDescent="0.3">
      <c r="A29" s="60" t="s">
        <v>275</v>
      </c>
      <c r="B29" s="60"/>
      <c r="C29" s="60"/>
      <c r="D29" s="60"/>
      <c r="E29" s="60"/>
      <c r="F29" s="60"/>
      <c r="G29" s="60"/>
      <c r="H29" s="60"/>
      <c r="I29" s="60"/>
      <c r="J29" s="60"/>
    </row>
    <row r="30" spans="1:10" ht="21.75" customHeight="1" x14ac:dyDescent="0.3">
      <c r="A30" s="60" t="s">
        <v>276</v>
      </c>
      <c r="B30" s="60"/>
      <c r="C30" s="60"/>
      <c r="D30" s="60"/>
      <c r="E30" s="60"/>
      <c r="F30" s="60"/>
      <c r="G30" s="60"/>
      <c r="H30" s="60"/>
      <c r="I30" s="60"/>
      <c r="J30" s="60"/>
    </row>
    <row r="31" spans="1:10" ht="21.75" customHeight="1" x14ac:dyDescent="0.3">
      <c r="A31" s="60" t="s">
        <v>277</v>
      </c>
      <c r="B31" s="60"/>
      <c r="C31" s="60"/>
      <c r="D31" s="60"/>
      <c r="E31" s="60"/>
      <c r="F31" s="60"/>
      <c r="G31" s="60"/>
      <c r="H31" s="60"/>
      <c r="I31" s="60"/>
      <c r="J31" s="60"/>
    </row>
    <row r="33" spans="1:10" ht="30" customHeight="1" x14ac:dyDescent="0.3">
      <c r="A33" s="61" t="s">
        <v>278</v>
      </c>
      <c r="B33" s="61"/>
      <c r="C33" s="61"/>
      <c r="D33" s="61"/>
      <c r="E33" s="61"/>
      <c r="F33" s="61"/>
      <c r="G33" s="61"/>
      <c r="H33" s="61"/>
      <c r="I33" s="61"/>
      <c r="J33" s="61"/>
    </row>
    <row r="34" spans="1:10" x14ac:dyDescent="0.3">
      <c r="A34" s="19" t="s">
        <v>249</v>
      </c>
      <c r="B34" s="23">
        <v>6</v>
      </c>
      <c r="C34" s="19" t="s">
        <v>250</v>
      </c>
      <c r="D34" s="23">
        <v>32.5</v>
      </c>
      <c r="E34" s="19" t="s">
        <v>251</v>
      </c>
      <c r="F34" s="23">
        <v>38.5</v>
      </c>
      <c r="G34" s="19" t="s">
        <v>252</v>
      </c>
      <c r="H34" s="23">
        <v>5.5</v>
      </c>
      <c r="I34" s="19" t="s">
        <v>253</v>
      </c>
      <c r="J34" s="23" t="s">
        <v>279</v>
      </c>
    </row>
    <row r="35" spans="1:10" x14ac:dyDescent="0.3">
      <c r="A35" s="62" t="s">
        <v>255</v>
      </c>
      <c r="B35" s="62"/>
      <c r="C35" s="62"/>
      <c r="D35" s="62"/>
      <c r="E35" s="62"/>
      <c r="F35" s="62"/>
      <c r="G35" s="62"/>
      <c r="H35" s="62"/>
      <c r="I35" s="62"/>
      <c r="J35" s="62"/>
    </row>
    <row r="36" spans="1:10" ht="21.75" customHeight="1" x14ac:dyDescent="0.3">
      <c r="A36" s="60" t="s">
        <v>280</v>
      </c>
      <c r="B36" s="60"/>
      <c r="C36" s="60"/>
      <c r="D36" s="60"/>
      <c r="E36" s="60"/>
      <c r="F36" s="60"/>
      <c r="G36" s="60"/>
      <c r="H36" s="60"/>
      <c r="I36" s="60"/>
      <c r="J36" s="60"/>
    </row>
    <row r="37" spans="1:10" ht="21.75" customHeight="1" x14ac:dyDescent="0.3">
      <c r="A37" s="60" t="s">
        <v>281</v>
      </c>
      <c r="B37" s="60"/>
      <c r="C37" s="60"/>
      <c r="D37" s="60"/>
      <c r="E37" s="60"/>
      <c r="F37" s="60"/>
      <c r="G37" s="60"/>
      <c r="H37" s="60"/>
      <c r="I37" s="60"/>
      <c r="J37" s="60"/>
    </row>
    <row r="38" spans="1:10" ht="21.75" customHeight="1" x14ac:dyDescent="0.3">
      <c r="A38" s="60" t="s">
        <v>282</v>
      </c>
      <c r="B38" s="60"/>
      <c r="C38" s="60"/>
      <c r="D38" s="60"/>
      <c r="E38" s="60"/>
      <c r="F38" s="60"/>
      <c r="G38" s="60"/>
      <c r="H38" s="60"/>
      <c r="I38" s="60"/>
      <c r="J38" s="60"/>
    </row>
    <row r="39" spans="1:10" ht="21.75" customHeight="1" x14ac:dyDescent="0.3">
      <c r="A39" s="60" t="s">
        <v>283</v>
      </c>
      <c r="B39" s="60"/>
      <c r="C39" s="60"/>
      <c r="D39" s="60"/>
      <c r="E39" s="60"/>
      <c r="F39" s="60"/>
      <c r="G39" s="60"/>
      <c r="H39" s="60"/>
      <c r="I39" s="60"/>
      <c r="J39" s="60"/>
    </row>
    <row r="40" spans="1:10" ht="21.75" customHeight="1" x14ac:dyDescent="0.3">
      <c r="A40" s="60" t="s">
        <v>284</v>
      </c>
      <c r="B40" s="60"/>
      <c r="C40" s="60"/>
      <c r="D40" s="60"/>
      <c r="E40" s="60"/>
      <c r="F40" s="60"/>
      <c r="G40" s="60"/>
      <c r="H40" s="60"/>
      <c r="I40" s="60"/>
      <c r="J40" s="60"/>
    </row>
    <row r="41" spans="1:10" ht="21.75" customHeight="1" x14ac:dyDescent="0.3">
      <c r="A41" s="60" t="s">
        <v>285</v>
      </c>
      <c r="B41" s="60"/>
      <c r="C41" s="60"/>
      <c r="D41" s="60"/>
      <c r="E41" s="60"/>
      <c r="F41" s="60"/>
      <c r="G41" s="60"/>
      <c r="H41" s="60"/>
      <c r="I41" s="60"/>
      <c r="J41" s="60"/>
    </row>
    <row r="42" spans="1:10" ht="21.75" customHeight="1" x14ac:dyDescent="0.3">
      <c r="A42" s="60" t="s">
        <v>286</v>
      </c>
      <c r="B42" s="60"/>
      <c r="C42" s="60"/>
      <c r="D42" s="60"/>
      <c r="E42" s="60"/>
      <c r="F42" s="60"/>
      <c r="G42" s="60"/>
      <c r="H42" s="60"/>
      <c r="I42" s="60"/>
      <c r="J42" s="60"/>
    </row>
  </sheetData>
  <mergeCells count="34">
    <mergeCell ref="A1:J1"/>
    <mergeCell ref="A3:J3"/>
    <mergeCell ref="A5:J5"/>
    <mergeCell ref="A6:J6"/>
    <mergeCell ref="A7:J7"/>
    <mergeCell ref="A8:J8"/>
    <mergeCell ref="A9:J9"/>
    <mergeCell ref="A10:J10"/>
    <mergeCell ref="A11:J11"/>
    <mergeCell ref="A13:J13"/>
    <mergeCell ref="A15:J15"/>
    <mergeCell ref="A16:J16"/>
    <mergeCell ref="A17:J17"/>
    <mergeCell ref="A18:J18"/>
    <mergeCell ref="A19:J19"/>
    <mergeCell ref="A20:J20"/>
    <mergeCell ref="A21:J21"/>
    <mergeCell ref="A23:J23"/>
    <mergeCell ref="A25:J25"/>
    <mergeCell ref="A26:J26"/>
    <mergeCell ref="A27:J27"/>
    <mergeCell ref="A28:J28"/>
    <mergeCell ref="A29:J29"/>
    <mergeCell ref="A30:J30"/>
    <mergeCell ref="A31:J31"/>
    <mergeCell ref="A39:J39"/>
    <mergeCell ref="A40:J40"/>
    <mergeCell ref="A41:J41"/>
    <mergeCell ref="A42:J42"/>
    <mergeCell ref="A33:J33"/>
    <mergeCell ref="A35:J35"/>
    <mergeCell ref="A36:J36"/>
    <mergeCell ref="A37:J37"/>
    <mergeCell ref="A38:J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showGridLines="0" zoomScaleNormal="100" workbookViewId="0">
      <pane ySplit="2" topLeftCell="A3" activePane="bottomLeft" state="frozen"/>
      <selection pane="bottomLeft" activeCell="F4" sqref="F4"/>
    </sheetView>
  </sheetViews>
  <sheetFormatPr defaultColWidth="8.6640625" defaultRowHeight="14.4" x14ac:dyDescent="0.3"/>
  <cols>
    <col min="1" max="1" width="5" customWidth="1"/>
    <col min="2" max="2" width="26" customWidth="1"/>
    <col min="3" max="3" width="28" customWidth="1"/>
    <col min="4" max="4" width="48" customWidth="1"/>
    <col min="5" max="5" width="8" customWidth="1"/>
    <col min="6" max="6" width="12" customWidth="1"/>
    <col min="7" max="7" width="22" customWidth="1"/>
  </cols>
  <sheetData>
    <row r="1" spans="1:7" ht="36" customHeight="1" thickBot="1" x14ac:dyDescent="0.35">
      <c r="A1" s="54" t="s">
        <v>287</v>
      </c>
      <c r="B1" s="54"/>
      <c r="C1" s="54"/>
      <c r="D1" s="54"/>
      <c r="E1" s="54"/>
      <c r="F1" s="54"/>
      <c r="G1" s="54"/>
    </row>
    <row r="2" spans="1:7" ht="25.5" customHeight="1" thickBot="1" x14ac:dyDescent="0.35">
      <c r="A2" s="24" t="s">
        <v>27</v>
      </c>
      <c r="B2" s="24" t="s">
        <v>288</v>
      </c>
      <c r="C2" s="24" t="s">
        <v>289</v>
      </c>
      <c r="D2" s="24" t="s">
        <v>290</v>
      </c>
      <c r="E2" s="24" t="s">
        <v>291</v>
      </c>
      <c r="F2" s="24" t="s">
        <v>292</v>
      </c>
      <c r="G2" s="24" t="s">
        <v>43</v>
      </c>
    </row>
    <row r="3" spans="1:7" ht="27.75" customHeight="1" x14ac:dyDescent="0.3">
      <c r="A3" s="13">
        <v>1</v>
      </c>
      <c r="B3" s="13" t="s">
        <v>293</v>
      </c>
      <c r="C3" s="13" t="s">
        <v>294</v>
      </c>
      <c r="D3" s="13" t="s">
        <v>295</v>
      </c>
      <c r="E3" s="13">
        <v>1</v>
      </c>
      <c r="F3" s="13" t="s">
        <v>68</v>
      </c>
      <c r="G3" s="13"/>
    </row>
    <row r="4" spans="1:7" ht="27.75" customHeight="1" x14ac:dyDescent="0.3">
      <c r="A4" s="16">
        <v>1</v>
      </c>
      <c r="B4" s="16" t="s">
        <v>296</v>
      </c>
      <c r="C4" s="16" t="s">
        <v>297</v>
      </c>
      <c r="D4" s="16" t="s">
        <v>298</v>
      </c>
      <c r="E4" s="16">
        <v>1</v>
      </c>
      <c r="F4" s="16" t="s">
        <v>68</v>
      </c>
      <c r="G4" s="16"/>
    </row>
    <row r="5" spans="1:7" ht="27.75" customHeight="1" x14ac:dyDescent="0.3">
      <c r="A5" s="13">
        <v>2</v>
      </c>
      <c r="B5" s="13" t="s">
        <v>299</v>
      </c>
      <c r="C5" s="13" t="s">
        <v>300</v>
      </c>
      <c r="D5" s="13" t="s">
        <v>301</v>
      </c>
      <c r="E5" s="13">
        <v>1</v>
      </c>
      <c r="F5" s="13"/>
      <c r="G5" s="13"/>
    </row>
    <row r="6" spans="1:7" ht="27.75" customHeight="1" x14ac:dyDescent="0.3">
      <c r="A6" s="16">
        <v>2</v>
      </c>
      <c r="B6" s="16" t="s">
        <v>302</v>
      </c>
      <c r="C6" s="16" t="s">
        <v>303</v>
      </c>
      <c r="D6" s="16" t="s">
        <v>304</v>
      </c>
      <c r="E6" s="16">
        <v>0.5</v>
      </c>
      <c r="F6" s="16"/>
      <c r="G6" s="16"/>
    </row>
    <row r="7" spans="1:7" ht="27.75" customHeight="1" x14ac:dyDescent="0.3">
      <c r="A7" s="13">
        <v>3</v>
      </c>
      <c r="B7" s="13" t="s">
        <v>305</v>
      </c>
      <c r="C7" s="13" t="s">
        <v>306</v>
      </c>
      <c r="D7" s="13" t="s">
        <v>307</v>
      </c>
      <c r="E7" s="13">
        <v>0.75</v>
      </c>
      <c r="F7" s="13"/>
      <c r="G7" s="13"/>
    </row>
    <row r="8" spans="1:7" ht="27.75" customHeight="1" x14ac:dyDescent="0.3">
      <c r="A8" s="16">
        <v>3</v>
      </c>
      <c r="B8" s="16" t="s">
        <v>308</v>
      </c>
      <c r="C8" s="16" t="s">
        <v>309</v>
      </c>
      <c r="D8" s="16" t="s">
        <v>310</v>
      </c>
      <c r="E8" s="16">
        <v>0.75</v>
      </c>
      <c r="F8" s="16"/>
      <c r="G8" s="16"/>
    </row>
    <row r="9" spans="1:7" ht="27.75" customHeight="1" x14ac:dyDescent="0.3">
      <c r="A9" s="13">
        <v>4</v>
      </c>
      <c r="B9" s="13" t="s">
        <v>311</v>
      </c>
      <c r="C9" s="13" t="s">
        <v>312</v>
      </c>
      <c r="D9" s="13" t="s">
        <v>313</v>
      </c>
      <c r="E9" s="13">
        <v>1</v>
      </c>
      <c r="F9" s="13"/>
      <c r="G9" s="13"/>
    </row>
    <row r="10" spans="1:7" ht="27.75" customHeight="1" x14ac:dyDescent="0.3">
      <c r="A10" s="16">
        <v>5</v>
      </c>
      <c r="B10" s="16" t="s">
        <v>314</v>
      </c>
      <c r="C10" s="16" t="s">
        <v>315</v>
      </c>
      <c r="D10" s="16" t="s">
        <v>316</v>
      </c>
      <c r="E10" s="16">
        <v>1</v>
      </c>
      <c r="F10" s="16"/>
      <c r="G10" s="16"/>
    </row>
    <row r="11" spans="1:7" ht="27.75" customHeight="1" x14ac:dyDescent="0.3">
      <c r="A11" s="13">
        <v>5</v>
      </c>
      <c r="B11" s="13" t="s">
        <v>317</v>
      </c>
      <c r="C11" s="13" t="s">
        <v>318</v>
      </c>
      <c r="D11" s="13" t="s">
        <v>319</v>
      </c>
      <c r="E11" s="13">
        <v>0.5</v>
      </c>
      <c r="F11" s="13"/>
      <c r="G11" s="13"/>
    </row>
    <row r="12" spans="1:7" ht="27.75" customHeight="1" x14ac:dyDescent="0.3">
      <c r="A12" s="16">
        <v>6</v>
      </c>
      <c r="B12" s="16" t="s">
        <v>320</v>
      </c>
      <c r="C12" s="16" t="s">
        <v>321</v>
      </c>
      <c r="D12" s="16" t="s">
        <v>322</v>
      </c>
      <c r="E12" s="16">
        <v>0.5</v>
      </c>
      <c r="F12" s="16"/>
      <c r="G12" s="16"/>
    </row>
    <row r="13" spans="1:7" ht="27.75" customHeight="1" x14ac:dyDescent="0.3">
      <c r="A13" s="13">
        <v>6</v>
      </c>
      <c r="B13" s="13" t="s">
        <v>323</v>
      </c>
      <c r="C13" s="13" t="s">
        <v>324</v>
      </c>
      <c r="D13" s="13" t="s">
        <v>325</v>
      </c>
      <c r="E13" s="13">
        <v>0.5</v>
      </c>
      <c r="F13" s="13"/>
      <c r="G13" s="13"/>
    </row>
    <row r="14" spans="1:7" ht="27.75" customHeight="1" x14ac:dyDescent="0.3">
      <c r="A14" s="16">
        <v>8</v>
      </c>
      <c r="B14" s="16" t="s">
        <v>326</v>
      </c>
      <c r="C14" s="16" t="s">
        <v>327</v>
      </c>
      <c r="D14" s="16" t="s">
        <v>328</v>
      </c>
      <c r="E14" s="16">
        <v>0.5</v>
      </c>
      <c r="F14" s="16"/>
      <c r="G14" s="16"/>
    </row>
    <row r="15" spans="1:7" ht="27.75" customHeight="1" x14ac:dyDescent="0.3">
      <c r="A15" s="13">
        <v>9</v>
      </c>
      <c r="B15" s="13" t="s">
        <v>329</v>
      </c>
      <c r="C15" s="13" t="s">
        <v>330</v>
      </c>
      <c r="D15" s="13" t="s">
        <v>331</v>
      </c>
      <c r="E15" s="13">
        <v>1</v>
      </c>
      <c r="F15" s="13"/>
      <c r="G15" s="13"/>
    </row>
    <row r="16" spans="1:7" ht="27.75" customHeight="1" x14ac:dyDescent="0.3">
      <c r="A16" s="16">
        <v>10</v>
      </c>
      <c r="B16" s="16" t="s">
        <v>332</v>
      </c>
      <c r="C16" s="16" t="s">
        <v>333</v>
      </c>
      <c r="D16" s="16" t="s">
        <v>334</v>
      </c>
      <c r="E16" s="16">
        <v>0.5</v>
      </c>
      <c r="F16" s="16"/>
      <c r="G16" s="16"/>
    </row>
    <row r="17" spans="1:7" ht="27.75" customHeight="1" x14ac:dyDescent="0.3">
      <c r="A17" s="13">
        <v>13</v>
      </c>
      <c r="B17" s="13" t="s">
        <v>335</v>
      </c>
      <c r="C17" s="13" t="s">
        <v>336</v>
      </c>
      <c r="D17" s="13" t="s">
        <v>337</v>
      </c>
      <c r="E17" s="13">
        <v>1</v>
      </c>
      <c r="F17" s="13"/>
      <c r="G17" s="13"/>
    </row>
    <row r="18" spans="1:7" ht="27.75" customHeight="1" x14ac:dyDescent="0.3">
      <c r="A18" s="16">
        <v>15</v>
      </c>
      <c r="B18" s="16" t="s">
        <v>338</v>
      </c>
      <c r="C18" s="16" t="s">
        <v>339</v>
      </c>
      <c r="D18" s="16" t="s">
        <v>340</v>
      </c>
      <c r="E18" s="16">
        <v>0.75</v>
      </c>
      <c r="F18" s="16"/>
      <c r="G18" s="16"/>
    </row>
    <row r="19" spans="1:7" ht="27.75" customHeight="1" x14ac:dyDescent="0.3">
      <c r="A19" s="13">
        <v>15</v>
      </c>
      <c r="B19" s="13" t="s">
        <v>341</v>
      </c>
      <c r="C19" s="13" t="s">
        <v>342</v>
      </c>
      <c r="D19" s="13" t="s">
        <v>343</v>
      </c>
      <c r="E19" s="13">
        <v>0.75</v>
      </c>
      <c r="F19" s="13"/>
      <c r="G19" s="13"/>
    </row>
    <row r="20" spans="1:7" ht="27.75" customHeight="1" x14ac:dyDescent="0.3">
      <c r="A20" s="16">
        <v>18</v>
      </c>
      <c r="B20" s="16" t="s">
        <v>344</v>
      </c>
      <c r="C20" s="16" t="s">
        <v>345</v>
      </c>
      <c r="D20" s="16" t="s">
        <v>346</v>
      </c>
      <c r="E20" s="16">
        <v>1</v>
      </c>
      <c r="F20" s="16"/>
      <c r="G20" s="16"/>
    </row>
    <row r="21" spans="1:7" ht="27.75" customHeight="1" x14ac:dyDescent="0.3">
      <c r="A21" s="13">
        <v>18</v>
      </c>
      <c r="B21" s="13" t="s">
        <v>347</v>
      </c>
      <c r="C21" s="13" t="s">
        <v>348</v>
      </c>
      <c r="D21" s="13" t="s">
        <v>349</v>
      </c>
      <c r="E21" s="13">
        <v>0.5</v>
      </c>
      <c r="F21" s="13"/>
      <c r="G21" s="13"/>
    </row>
    <row r="22" spans="1:7" ht="27.75" customHeight="1" x14ac:dyDescent="0.3">
      <c r="A22" s="16">
        <v>19</v>
      </c>
      <c r="B22" s="16" t="s">
        <v>350</v>
      </c>
      <c r="C22" s="16" t="s">
        <v>351</v>
      </c>
      <c r="D22" s="16" t="s">
        <v>352</v>
      </c>
      <c r="E22" s="16">
        <v>1</v>
      </c>
      <c r="F22" s="16"/>
      <c r="G22" s="16"/>
    </row>
    <row r="23" spans="1:7" ht="27.75" customHeight="1" x14ac:dyDescent="0.3">
      <c r="A23" s="13">
        <v>19</v>
      </c>
      <c r="B23" s="13" t="s">
        <v>353</v>
      </c>
      <c r="C23" s="13" t="s">
        <v>354</v>
      </c>
      <c r="D23" s="13" t="s">
        <v>355</v>
      </c>
      <c r="E23" s="13">
        <v>0.5</v>
      </c>
      <c r="F23" s="13"/>
      <c r="G23" s="13"/>
    </row>
    <row r="24" spans="1:7" ht="27.75" customHeight="1" x14ac:dyDescent="0.3">
      <c r="A24" s="16">
        <v>20</v>
      </c>
      <c r="B24" s="16" t="s">
        <v>356</v>
      </c>
      <c r="C24" s="16" t="s">
        <v>357</v>
      </c>
      <c r="D24" s="16" t="s">
        <v>358</v>
      </c>
      <c r="E24" s="16">
        <v>0.5</v>
      </c>
      <c r="F24" s="16"/>
      <c r="G24" s="16"/>
    </row>
    <row r="25" spans="1:7" ht="27.75" customHeight="1" x14ac:dyDescent="0.3">
      <c r="A25" s="13">
        <v>22</v>
      </c>
      <c r="B25" s="13" t="s">
        <v>359</v>
      </c>
      <c r="C25" s="13" t="s">
        <v>360</v>
      </c>
      <c r="D25" s="13" t="s">
        <v>361</v>
      </c>
      <c r="E25" s="13">
        <v>1</v>
      </c>
      <c r="F25" s="13"/>
      <c r="G25" s="13"/>
    </row>
    <row r="26" spans="1:7" ht="27.75" customHeight="1" x14ac:dyDescent="0.3">
      <c r="A26" s="16">
        <v>23</v>
      </c>
      <c r="B26" s="16" t="s">
        <v>362</v>
      </c>
      <c r="C26" s="16" t="s">
        <v>363</v>
      </c>
      <c r="D26" s="16" t="s">
        <v>364</v>
      </c>
      <c r="E26" s="16">
        <v>1</v>
      </c>
      <c r="F26" s="16"/>
      <c r="G26" s="16"/>
    </row>
    <row r="27" spans="1:7" ht="27.75" customHeight="1" x14ac:dyDescent="0.3">
      <c r="A27" s="13">
        <v>24</v>
      </c>
      <c r="B27" s="13" t="s">
        <v>365</v>
      </c>
      <c r="C27" s="13" t="s">
        <v>366</v>
      </c>
      <c r="D27" s="13" t="s">
        <v>367</v>
      </c>
      <c r="E27" s="13">
        <v>1</v>
      </c>
      <c r="F27" s="13"/>
      <c r="G27" s="13"/>
    </row>
    <row r="28" spans="1:7" ht="27.75" customHeight="1" x14ac:dyDescent="0.3">
      <c r="A28" s="16">
        <v>25</v>
      </c>
      <c r="B28" s="16" t="s">
        <v>368</v>
      </c>
      <c r="C28" s="16" t="s">
        <v>369</v>
      </c>
      <c r="D28" s="16" t="s">
        <v>370</v>
      </c>
      <c r="E28" s="16">
        <v>0.5</v>
      </c>
      <c r="F28" s="16"/>
      <c r="G28" s="16"/>
    </row>
    <row r="29" spans="1:7" ht="27.75" customHeight="1" x14ac:dyDescent="0.3">
      <c r="A29" s="13">
        <v>26</v>
      </c>
      <c r="B29" s="13" t="s">
        <v>371</v>
      </c>
      <c r="C29" s="13" t="s">
        <v>372</v>
      </c>
      <c r="D29" s="13" t="s">
        <v>373</v>
      </c>
      <c r="E29" s="13">
        <v>0.5</v>
      </c>
      <c r="F29" s="13"/>
      <c r="G29" s="13"/>
    </row>
    <row r="30" spans="1:7" ht="27.75" customHeight="1" x14ac:dyDescent="0.3">
      <c r="A30" s="16">
        <v>27</v>
      </c>
      <c r="B30" s="16" t="s">
        <v>374</v>
      </c>
      <c r="C30" s="16" t="s">
        <v>375</v>
      </c>
      <c r="D30" s="16" t="s">
        <v>376</v>
      </c>
      <c r="E30" s="16">
        <v>0.5</v>
      </c>
      <c r="F30" s="16"/>
      <c r="G30" s="16"/>
    </row>
  </sheetData>
  <mergeCells count="1">
    <mergeCell ref="A1:G1"/>
  </mergeCells>
  <dataValidations count="1">
    <dataValidation type="list" sqref="F3:F200" xr:uid="{00000000-0002-0000-0300-000000000000}">
      <formula1>"Yes,No,In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zoomScaleNormal="100" workbookViewId="0">
      <pane ySplit="2" topLeftCell="A3" activePane="bottomLeft" state="frozen"/>
      <selection pane="bottomLeft" activeCell="E14" sqref="E14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2" customWidth="1"/>
    <col min="4" max="4" width="22" customWidth="1"/>
    <col min="5" max="5" width="40" customWidth="1"/>
    <col min="6" max="6" width="48" customWidth="1"/>
    <col min="7" max="7" width="20" customWidth="1"/>
  </cols>
  <sheetData>
    <row r="1" spans="1:7" ht="36" customHeight="1" x14ac:dyDescent="0.3">
      <c r="A1" s="54" t="s">
        <v>377</v>
      </c>
      <c r="B1" s="54"/>
      <c r="C1" s="54"/>
      <c r="D1" s="54"/>
      <c r="E1" s="54"/>
      <c r="F1" s="54"/>
      <c r="G1" s="54"/>
    </row>
    <row r="2" spans="1:7" ht="25.5" customHeight="1" x14ac:dyDescent="0.3">
      <c r="A2" s="24" t="s">
        <v>378</v>
      </c>
      <c r="B2" s="24" t="s">
        <v>379</v>
      </c>
      <c r="C2" s="24" t="s">
        <v>380</v>
      </c>
      <c r="D2" s="24" t="s">
        <v>381</v>
      </c>
      <c r="E2" s="24" t="s">
        <v>382</v>
      </c>
      <c r="F2" s="24" t="s">
        <v>383</v>
      </c>
      <c r="G2" s="24" t="s">
        <v>43</v>
      </c>
    </row>
    <row r="3" spans="1:7" ht="27.75" customHeight="1" x14ac:dyDescent="0.3">
      <c r="A3" s="25" t="s">
        <v>384</v>
      </c>
      <c r="B3" s="25" t="s">
        <v>385</v>
      </c>
      <c r="C3" s="25" t="s">
        <v>386</v>
      </c>
      <c r="D3" s="25" t="s">
        <v>387</v>
      </c>
      <c r="E3" s="25" t="s">
        <v>388</v>
      </c>
      <c r="F3" s="25" t="s">
        <v>298</v>
      </c>
      <c r="G3" s="25"/>
    </row>
    <row r="4" spans="1:7" ht="27.75" customHeight="1" x14ac:dyDescent="0.3">
      <c r="A4" s="25" t="s">
        <v>384</v>
      </c>
      <c r="B4" s="25" t="s">
        <v>389</v>
      </c>
      <c r="C4" s="25" t="s">
        <v>390</v>
      </c>
      <c r="D4" s="25" t="s">
        <v>391</v>
      </c>
      <c r="E4" s="25" t="s">
        <v>392</v>
      </c>
      <c r="F4" s="25" t="s">
        <v>295</v>
      </c>
      <c r="G4" s="25"/>
    </row>
    <row r="5" spans="1:7" ht="27.75" customHeight="1" x14ac:dyDescent="0.3">
      <c r="A5" s="25" t="s">
        <v>384</v>
      </c>
      <c r="B5" s="25" t="s">
        <v>323</v>
      </c>
      <c r="C5" s="25" t="s">
        <v>393</v>
      </c>
      <c r="D5" s="25" t="s">
        <v>394</v>
      </c>
      <c r="E5" s="25" t="s">
        <v>395</v>
      </c>
      <c r="F5" s="25" t="s">
        <v>325</v>
      </c>
      <c r="G5" s="25"/>
    </row>
    <row r="6" spans="1:7" ht="27.75" customHeight="1" x14ac:dyDescent="0.3">
      <c r="A6" s="25" t="s">
        <v>384</v>
      </c>
      <c r="B6" s="25" t="s">
        <v>320</v>
      </c>
      <c r="C6" s="25" t="s">
        <v>396</v>
      </c>
      <c r="D6" s="25" t="s">
        <v>397</v>
      </c>
      <c r="E6" s="25" t="s">
        <v>398</v>
      </c>
      <c r="F6" s="25" t="s">
        <v>322</v>
      </c>
      <c r="G6" s="25"/>
    </row>
    <row r="7" spans="1:7" ht="27.75" customHeight="1" x14ac:dyDescent="0.3">
      <c r="A7" s="25" t="s">
        <v>384</v>
      </c>
      <c r="B7" s="25" t="s">
        <v>305</v>
      </c>
      <c r="C7" s="25" t="s">
        <v>399</v>
      </c>
      <c r="D7" s="25" t="s">
        <v>400</v>
      </c>
      <c r="E7" s="25" t="s">
        <v>401</v>
      </c>
      <c r="F7" s="25" t="s">
        <v>307</v>
      </c>
      <c r="G7" s="25"/>
    </row>
    <row r="8" spans="1:7" ht="27.75" customHeight="1" x14ac:dyDescent="0.3">
      <c r="A8" s="25" t="s">
        <v>384</v>
      </c>
      <c r="B8" s="25" t="s">
        <v>402</v>
      </c>
      <c r="C8" s="25" t="s">
        <v>393</v>
      </c>
      <c r="D8" s="25" t="s">
        <v>403</v>
      </c>
      <c r="E8" s="25" t="s">
        <v>404</v>
      </c>
      <c r="F8" s="25" t="s">
        <v>310</v>
      </c>
      <c r="G8" s="25"/>
    </row>
    <row r="9" spans="1:7" ht="27.75" customHeight="1" x14ac:dyDescent="0.3">
      <c r="A9" s="25" t="s">
        <v>384</v>
      </c>
      <c r="B9" s="25" t="s">
        <v>338</v>
      </c>
      <c r="C9" s="25" t="s">
        <v>405</v>
      </c>
      <c r="D9" s="25" t="s">
        <v>406</v>
      </c>
      <c r="E9" s="25" t="s">
        <v>407</v>
      </c>
      <c r="F9" s="25" t="s">
        <v>340</v>
      </c>
      <c r="G9" s="25"/>
    </row>
    <row r="10" spans="1:7" ht="27.75" customHeight="1" x14ac:dyDescent="0.3">
      <c r="A10" s="26" t="s">
        <v>408</v>
      </c>
      <c r="B10" s="26" t="s">
        <v>409</v>
      </c>
      <c r="C10" s="26" t="s">
        <v>410</v>
      </c>
      <c r="D10" s="26" t="s">
        <v>411</v>
      </c>
      <c r="E10" s="26" t="s">
        <v>412</v>
      </c>
      <c r="F10" s="26" t="s">
        <v>301</v>
      </c>
      <c r="G10" s="26"/>
    </row>
    <row r="11" spans="1:7" ht="27.75" customHeight="1" x14ac:dyDescent="0.3">
      <c r="A11" s="26" t="s">
        <v>408</v>
      </c>
      <c r="B11" s="26" t="s">
        <v>389</v>
      </c>
      <c r="C11" s="26" t="s">
        <v>390</v>
      </c>
      <c r="D11" s="26" t="s">
        <v>391</v>
      </c>
      <c r="E11" s="26" t="s">
        <v>413</v>
      </c>
      <c r="F11" s="26" t="s">
        <v>295</v>
      </c>
      <c r="G11" s="26"/>
    </row>
    <row r="12" spans="1:7" ht="27.75" customHeight="1" x14ac:dyDescent="0.3">
      <c r="A12" s="26" t="s">
        <v>408</v>
      </c>
      <c r="B12" s="26" t="s">
        <v>414</v>
      </c>
      <c r="C12" s="26" t="s">
        <v>415</v>
      </c>
      <c r="D12" s="26" t="s">
        <v>416</v>
      </c>
      <c r="E12" s="26" t="s">
        <v>417</v>
      </c>
      <c r="F12" s="26" t="s">
        <v>304</v>
      </c>
      <c r="G12" s="26"/>
    </row>
    <row r="13" spans="1:7" ht="27.75" customHeight="1" x14ac:dyDescent="0.3">
      <c r="A13" s="26" t="s">
        <v>408</v>
      </c>
      <c r="B13" s="26" t="s">
        <v>418</v>
      </c>
      <c r="C13" s="26" t="s">
        <v>419</v>
      </c>
      <c r="D13" s="26" t="s">
        <v>420</v>
      </c>
      <c r="E13" s="26" t="s">
        <v>421</v>
      </c>
      <c r="F13" s="26" t="s">
        <v>422</v>
      </c>
      <c r="G13" s="26"/>
    </row>
    <row r="14" spans="1:7" ht="27.75" customHeight="1" x14ac:dyDescent="0.3">
      <c r="A14" s="27" t="s">
        <v>423</v>
      </c>
      <c r="B14" s="27" t="s">
        <v>424</v>
      </c>
      <c r="C14" s="27" t="s">
        <v>425</v>
      </c>
      <c r="D14" s="27" t="s">
        <v>426</v>
      </c>
      <c r="E14" s="27" t="s">
        <v>427</v>
      </c>
      <c r="F14" s="27" t="s">
        <v>319</v>
      </c>
      <c r="G14" s="27"/>
    </row>
    <row r="15" spans="1:7" ht="27.75" customHeight="1" x14ac:dyDescent="0.3">
      <c r="A15" s="27" t="s">
        <v>423</v>
      </c>
      <c r="B15" s="27" t="s">
        <v>314</v>
      </c>
      <c r="C15" s="27" t="s">
        <v>390</v>
      </c>
      <c r="D15" s="27" t="s">
        <v>428</v>
      </c>
      <c r="E15" s="27" t="s">
        <v>429</v>
      </c>
      <c r="F15" s="27" t="s">
        <v>316</v>
      </c>
      <c r="G15" s="27"/>
    </row>
    <row r="16" spans="1:7" ht="27.75" customHeight="1" x14ac:dyDescent="0.3">
      <c r="A16" s="27" t="s">
        <v>423</v>
      </c>
      <c r="B16" s="27" t="s">
        <v>430</v>
      </c>
      <c r="C16" s="27" t="s">
        <v>431</v>
      </c>
      <c r="D16" s="27" t="s">
        <v>432</v>
      </c>
      <c r="E16" s="27" t="s">
        <v>433</v>
      </c>
      <c r="F16" s="27" t="s">
        <v>434</v>
      </c>
      <c r="G16" s="27"/>
    </row>
    <row r="17" spans="1:7" ht="27.75" customHeight="1" x14ac:dyDescent="0.3">
      <c r="A17" s="28" t="s">
        <v>166</v>
      </c>
      <c r="B17" s="28" t="s">
        <v>435</v>
      </c>
      <c r="C17" s="28" t="s">
        <v>436</v>
      </c>
      <c r="D17" s="28" t="s">
        <v>437</v>
      </c>
      <c r="E17" s="28" t="s">
        <v>438</v>
      </c>
      <c r="F17" s="28" t="s">
        <v>439</v>
      </c>
      <c r="G17" s="28"/>
    </row>
    <row r="18" spans="1:7" ht="27.75" customHeight="1" x14ac:dyDescent="0.3">
      <c r="A18" s="28" t="s">
        <v>166</v>
      </c>
      <c r="B18" s="28" t="s">
        <v>440</v>
      </c>
      <c r="C18" s="28" t="s">
        <v>441</v>
      </c>
      <c r="D18" s="28" t="s">
        <v>442</v>
      </c>
      <c r="E18" s="28" t="s">
        <v>443</v>
      </c>
      <c r="F18" s="28" t="s">
        <v>346</v>
      </c>
      <c r="G18" s="28"/>
    </row>
    <row r="19" spans="1:7" ht="27.75" customHeight="1" x14ac:dyDescent="0.3">
      <c r="A19" s="28" t="s">
        <v>166</v>
      </c>
      <c r="B19" s="28" t="s">
        <v>444</v>
      </c>
      <c r="C19" s="28" t="s">
        <v>405</v>
      </c>
      <c r="D19" s="28" t="s">
        <v>445</v>
      </c>
      <c r="E19" s="28" t="s">
        <v>446</v>
      </c>
      <c r="F19" s="28" t="s">
        <v>349</v>
      </c>
      <c r="G19" s="28"/>
    </row>
    <row r="20" spans="1:7" ht="27.75" customHeight="1" x14ac:dyDescent="0.3">
      <c r="A20" s="28" t="s">
        <v>166</v>
      </c>
      <c r="B20" s="28" t="s">
        <v>447</v>
      </c>
      <c r="C20" s="28" t="s">
        <v>448</v>
      </c>
      <c r="D20" s="28" t="s">
        <v>449</v>
      </c>
      <c r="E20" s="28" t="s">
        <v>450</v>
      </c>
      <c r="F20" s="28" t="s">
        <v>451</v>
      </c>
      <c r="G20" s="28"/>
    </row>
    <row r="21" spans="1:7" ht="27.75" customHeight="1" x14ac:dyDescent="0.3">
      <c r="A21" s="28" t="s">
        <v>166</v>
      </c>
      <c r="B21" s="28" t="s">
        <v>452</v>
      </c>
      <c r="C21" s="28" t="s">
        <v>405</v>
      </c>
      <c r="D21" s="28" t="s">
        <v>453</v>
      </c>
      <c r="E21" s="28" t="s">
        <v>454</v>
      </c>
      <c r="F21" s="28" t="s">
        <v>352</v>
      </c>
      <c r="G21" s="28"/>
    </row>
    <row r="22" spans="1:7" ht="27.75" customHeight="1" x14ac:dyDescent="0.3">
      <c r="A22" s="28" t="s">
        <v>166</v>
      </c>
      <c r="B22" s="28" t="s">
        <v>455</v>
      </c>
      <c r="C22" s="28" t="s">
        <v>396</v>
      </c>
      <c r="D22" s="28" t="s">
        <v>456</v>
      </c>
      <c r="E22" s="28" t="s">
        <v>457</v>
      </c>
      <c r="F22" s="28" t="s">
        <v>355</v>
      </c>
      <c r="G22" s="28"/>
    </row>
    <row r="23" spans="1:7" ht="27.75" customHeight="1" x14ac:dyDescent="0.3">
      <c r="A23" s="29" t="s">
        <v>458</v>
      </c>
      <c r="B23" s="29" t="s">
        <v>356</v>
      </c>
      <c r="C23" s="29" t="s">
        <v>459</v>
      </c>
      <c r="D23" s="29" t="s">
        <v>460</v>
      </c>
      <c r="E23" s="29" t="s">
        <v>461</v>
      </c>
      <c r="F23" s="29" t="s">
        <v>358</v>
      </c>
      <c r="G23" s="29" t="s">
        <v>462</v>
      </c>
    </row>
    <row r="24" spans="1:7" ht="27.75" customHeight="1" x14ac:dyDescent="0.3">
      <c r="A24" s="30" t="s">
        <v>190</v>
      </c>
      <c r="B24" s="30" t="s">
        <v>463</v>
      </c>
      <c r="C24" s="30" t="s">
        <v>464</v>
      </c>
      <c r="D24" s="30" t="s">
        <v>465</v>
      </c>
      <c r="E24" s="30" t="s">
        <v>466</v>
      </c>
      <c r="F24" s="30" t="s">
        <v>361</v>
      </c>
      <c r="G24" s="30"/>
    </row>
    <row r="25" spans="1:7" ht="27.75" customHeight="1" x14ac:dyDescent="0.3">
      <c r="A25" s="30" t="s">
        <v>190</v>
      </c>
      <c r="B25" s="30" t="s">
        <v>467</v>
      </c>
      <c r="C25" s="30" t="s">
        <v>468</v>
      </c>
      <c r="D25" s="30" t="s">
        <v>469</v>
      </c>
      <c r="E25" s="30" t="s">
        <v>470</v>
      </c>
      <c r="F25" s="30" t="s">
        <v>364</v>
      </c>
      <c r="G25" s="30"/>
    </row>
    <row r="26" spans="1:7" ht="27.75" customHeight="1" x14ac:dyDescent="0.3">
      <c r="A26" s="30" t="s">
        <v>190</v>
      </c>
      <c r="B26" s="30" t="s">
        <v>471</v>
      </c>
      <c r="C26" s="30" t="s">
        <v>396</v>
      </c>
      <c r="D26" s="30" t="s">
        <v>472</v>
      </c>
      <c r="E26" s="30" t="s">
        <v>473</v>
      </c>
      <c r="F26" s="30" t="s">
        <v>367</v>
      </c>
      <c r="G26" s="30"/>
    </row>
    <row r="27" spans="1:7" ht="27.75" customHeight="1" x14ac:dyDescent="0.3">
      <c r="A27" s="31" t="s">
        <v>474</v>
      </c>
      <c r="B27" s="31" t="s">
        <v>475</v>
      </c>
      <c r="C27" s="31" t="s">
        <v>476</v>
      </c>
      <c r="D27" s="31" t="s">
        <v>477</v>
      </c>
      <c r="E27" s="31" t="s">
        <v>478</v>
      </c>
      <c r="F27" s="31" t="s">
        <v>373</v>
      </c>
      <c r="G27" s="31"/>
    </row>
    <row r="28" spans="1:7" ht="27.75" customHeight="1" x14ac:dyDescent="0.3">
      <c r="A28" s="31" t="s">
        <v>474</v>
      </c>
      <c r="B28" s="31" t="s">
        <v>479</v>
      </c>
      <c r="C28" s="31" t="s">
        <v>393</v>
      </c>
      <c r="D28" s="31" t="s">
        <v>480</v>
      </c>
      <c r="E28" s="31" t="s">
        <v>481</v>
      </c>
      <c r="F28" s="31" t="s">
        <v>482</v>
      </c>
      <c r="G28" s="31"/>
    </row>
    <row r="29" spans="1:7" ht="27.75" customHeight="1" x14ac:dyDescent="0.3">
      <c r="A29" s="32" t="s">
        <v>209</v>
      </c>
      <c r="B29" s="32" t="s">
        <v>483</v>
      </c>
      <c r="C29" s="32" t="s">
        <v>431</v>
      </c>
      <c r="D29" s="32" t="s">
        <v>484</v>
      </c>
      <c r="E29" s="32" t="s">
        <v>485</v>
      </c>
      <c r="F29" s="32" t="s">
        <v>376</v>
      </c>
      <c r="G29" s="32"/>
    </row>
    <row r="30" spans="1:7" ht="27.75" customHeight="1" x14ac:dyDescent="0.3">
      <c r="A30" s="32" t="s">
        <v>209</v>
      </c>
      <c r="B30" s="32" t="s">
        <v>486</v>
      </c>
      <c r="C30" s="32" t="s">
        <v>431</v>
      </c>
      <c r="D30" s="32" t="s">
        <v>487</v>
      </c>
      <c r="E30" s="32" t="s">
        <v>488</v>
      </c>
      <c r="F30" s="32" t="s">
        <v>370</v>
      </c>
      <c r="G30" s="32"/>
    </row>
    <row r="31" spans="1:7" ht="27.75" customHeight="1" x14ac:dyDescent="0.3">
      <c r="A31" s="32" t="s">
        <v>209</v>
      </c>
      <c r="B31" s="32" t="s">
        <v>489</v>
      </c>
      <c r="C31" s="32" t="s">
        <v>490</v>
      </c>
      <c r="D31" s="32" t="s">
        <v>491</v>
      </c>
      <c r="E31" s="32" t="s">
        <v>492</v>
      </c>
      <c r="F31" s="32" t="s">
        <v>493</v>
      </c>
      <c r="G31" s="32" t="s">
        <v>494</v>
      </c>
    </row>
  </sheetData>
  <autoFilter ref="A2:G31" xr:uid="{00000000-0009-0000-0000-000004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zoomScaleNormal="100" workbookViewId="0">
      <pane ySplit="2" topLeftCell="A3" activePane="bottomLeft" state="frozen"/>
      <selection pane="bottomLeft" activeCell="F3" sqref="F3"/>
    </sheetView>
  </sheetViews>
  <sheetFormatPr defaultColWidth="8.6640625" defaultRowHeight="14.4" x14ac:dyDescent="0.3"/>
  <cols>
    <col min="1" max="1" width="22" customWidth="1"/>
    <col min="2" max="2" width="28" customWidth="1"/>
    <col min="3" max="3" width="55" customWidth="1"/>
    <col min="4" max="4" width="40" customWidth="1"/>
    <col min="5" max="5" width="16" bestFit="1" customWidth="1"/>
    <col min="6" max="6" width="28" customWidth="1"/>
  </cols>
  <sheetData>
    <row r="1" spans="1:6" ht="36" customHeight="1" x14ac:dyDescent="0.3">
      <c r="A1" s="54" t="s">
        <v>495</v>
      </c>
      <c r="B1" s="54"/>
      <c r="C1" s="54"/>
      <c r="D1" s="54"/>
      <c r="E1" s="54"/>
      <c r="F1" s="54"/>
    </row>
    <row r="2" spans="1:6" ht="25.5" customHeight="1" x14ac:dyDescent="0.3">
      <c r="A2" s="24" t="s">
        <v>496</v>
      </c>
      <c r="B2" s="24" t="s">
        <v>381</v>
      </c>
      <c r="C2" s="24" t="s">
        <v>497</v>
      </c>
      <c r="D2" s="24" t="s">
        <v>498</v>
      </c>
      <c r="E2" s="24" t="s">
        <v>499</v>
      </c>
      <c r="F2" s="24" t="s">
        <v>43</v>
      </c>
    </row>
    <row r="3" spans="1:6" ht="54" customHeight="1" x14ac:dyDescent="0.3">
      <c r="A3" s="13" t="s">
        <v>500</v>
      </c>
      <c r="B3" s="13" t="s">
        <v>501</v>
      </c>
      <c r="C3" s="13" t="s">
        <v>502</v>
      </c>
      <c r="D3" s="13" t="s">
        <v>503</v>
      </c>
      <c r="E3" s="33" t="s">
        <v>68</v>
      </c>
      <c r="F3" s="13" t="s">
        <v>504</v>
      </c>
    </row>
    <row r="4" spans="1:6" ht="54" customHeight="1" x14ac:dyDescent="0.3">
      <c r="A4" s="16" t="s">
        <v>505</v>
      </c>
      <c r="B4" s="16" t="s">
        <v>506</v>
      </c>
      <c r="C4" s="16" t="s">
        <v>507</v>
      </c>
      <c r="D4" s="16" t="s">
        <v>508</v>
      </c>
      <c r="E4" s="33" t="s">
        <v>68</v>
      </c>
      <c r="F4" s="16" t="s">
        <v>509</v>
      </c>
    </row>
    <row r="5" spans="1:6" ht="54" customHeight="1" x14ac:dyDescent="0.3">
      <c r="A5" s="13" t="s">
        <v>510</v>
      </c>
      <c r="B5" s="13" t="s">
        <v>511</v>
      </c>
      <c r="C5" s="13" t="s">
        <v>512</v>
      </c>
      <c r="D5" s="13" t="s">
        <v>513</v>
      </c>
      <c r="E5" s="33" t="s">
        <v>68</v>
      </c>
      <c r="F5" s="13" t="s">
        <v>514</v>
      </c>
    </row>
    <row r="6" spans="1:6" ht="54" customHeight="1" x14ac:dyDescent="0.3">
      <c r="A6" s="16" t="s">
        <v>515</v>
      </c>
      <c r="B6" s="16" t="s">
        <v>516</v>
      </c>
      <c r="C6" s="16" t="s">
        <v>517</v>
      </c>
      <c r="D6" s="16" t="s">
        <v>518</v>
      </c>
      <c r="E6" s="33" t="s">
        <v>68</v>
      </c>
      <c r="F6" s="16"/>
    </row>
    <row r="7" spans="1:6" ht="54" customHeight="1" x14ac:dyDescent="0.3">
      <c r="A7" s="13" t="s">
        <v>518</v>
      </c>
      <c r="B7" s="13" t="s">
        <v>519</v>
      </c>
      <c r="C7" s="13" t="s">
        <v>520</v>
      </c>
      <c r="D7" s="13" t="s">
        <v>521</v>
      </c>
      <c r="E7" s="33" t="s">
        <v>68</v>
      </c>
      <c r="F7" s="13" t="s">
        <v>522</v>
      </c>
    </row>
    <row r="8" spans="1:6" ht="54" customHeight="1" x14ac:dyDescent="0.3">
      <c r="A8" s="16" t="s">
        <v>523</v>
      </c>
      <c r="B8" s="16" t="s">
        <v>524</v>
      </c>
      <c r="C8" s="16" t="s">
        <v>525</v>
      </c>
      <c r="D8" s="16" t="s">
        <v>526</v>
      </c>
      <c r="E8" s="33" t="s">
        <v>68</v>
      </c>
      <c r="F8" s="16" t="s">
        <v>527</v>
      </c>
    </row>
    <row r="9" spans="1:6" ht="54" customHeight="1" x14ac:dyDescent="0.3">
      <c r="A9" s="13" t="s">
        <v>528</v>
      </c>
      <c r="B9" s="13" t="s">
        <v>529</v>
      </c>
      <c r="C9" s="13" t="s">
        <v>530</v>
      </c>
      <c r="D9" s="13" t="s">
        <v>531</v>
      </c>
      <c r="E9" s="33" t="s">
        <v>68</v>
      </c>
      <c r="F9" s="13"/>
    </row>
    <row r="10" spans="1:6" ht="54" customHeight="1" x14ac:dyDescent="0.3">
      <c r="A10" s="16" t="s">
        <v>531</v>
      </c>
      <c r="B10" s="16" t="s">
        <v>532</v>
      </c>
      <c r="C10" s="16" t="s">
        <v>533</v>
      </c>
      <c r="D10" s="16" t="s">
        <v>534</v>
      </c>
      <c r="E10" s="33" t="s">
        <v>68</v>
      </c>
      <c r="F10" s="16" t="s">
        <v>535</v>
      </c>
    </row>
    <row r="11" spans="1:6" ht="54" customHeight="1" x14ac:dyDescent="0.3">
      <c r="A11" s="13" t="s">
        <v>536</v>
      </c>
      <c r="B11" s="13" t="s">
        <v>537</v>
      </c>
      <c r="C11" s="13" t="s">
        <v>538</v>
      </c>
      <c r="D11" s="13" t="s">
        <v>539</v>
      </c>
      <c r="E11" s="33" t="s">
        <v>68</v>
      </c>
      <c r="F11" s="13" t="s">
        <v>540</v>
      </c>
    </row>
    <row r="12" spans="1:6" ht="54" customHeight="1" x14ac:dyDescent="0.3">
      <c r="A12" s="16" t="s">
        <v>541</v>
      </c>
      <c r="B12" s="16" t="s">
        <v>542</v>
      </c>
      <c r="C12" s="16" t="s">
        <v>543</v>
      </c>
      <c r="D12" s="16" t="s">
        <v>544</v>
      </c>
      <c r="E12" s="33" t="s">
        <v>68</v>
      </c>
      <c r="F12" s="16"/>
    </row>
    <row r="13" spans="1:6" ht="54" customHeight="1" x14ac:dyDescent="0.3">
      <c r="A13" s="13" t="s">
        <v>544</v>
      </c>
      <c r="B13" s="13" t="s">
        <v>545</v>
      </c>
      <c r="C13" s="13" t="s">
        <v>546</v>
      </c>
      <c r="D13" s="13" t="s">
        <v>547</v>
      </c>
      <c r="E13" s="33" t="s">
        <v>68</v>
      </c>
      <c r="F13" s="13" t="s">
        <v>548</v>
      </c>
    </row>
    <row r="14" spans="1:6" ht="54" customHeight="1" x14ac:dyDescent="0.3">
      <c r="A14" s="16" t="s">
        <v>549</v>
      </c>
      <c r="B14" s="16" t="s">
        <v>550</v>
      </c>
      <c r="C14" s="16" t="s">
        <v>551</v>
      </c>
      <c r="D14" s="16" t="s">
        <v>552</v>
      </c>
      <c r="E14" s="33" t="s">
        <v>68</v>
      </c>
      <c r="F14" s="16" t="s">
        <v>553</v>
      </c>
    </row>
    <row r="15" spans="1:6" ht="54" customHeight="1" x14ac:dyDescent="0.3">
      <c r="A15" s="13" t="s">
        <v>554</v>
      </c>
      <c r="B15" s="13" t="s">
        <v>555</v>
      </c>
      <c r="C15" s="13" t="s">
        <v>556</v>
      </c>
      <c r="D15" s="13" t="s">
        <v>518</v>
      </c>
      <c r="E15" s="33" t="s">
        <v>68</v>
      </c>
      <c r="F15" s="13" t="s">
        <v>557</v>
      </c>
    </row>
    <row r="16" spans="1:6" ht="54" customHeight="1" x14ac:dyDescent="0.3">
      <c r="A16" s="16" t="s">
        <v>558</v>
      </c>
      <c r="B16" s="16" t="s">
        <v>559</v>
      </c>
      <c r="C16" s="16" t="s">
        <v>560</v>
      </c>
      <c r="D16" s="16" t="s">
        <v>561</v>
      </c>
      <c r="E16" s="33" t="s">
        <v>68</v>
      </c>
      <c r="F16" s="16" t="s">
        <v>562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showGridLines="0" zoomScaleNormal="100" workbookViewId="0">
      <pane ySplit="2" topLeftCell="A3" activePane="bottomLeft" state="frozen"/>
      <selection pane="bottomLeft" activeCell="G13" sqref="G13"/>
    </sheetView>
  </sheetViews>
  <sheetFormatPr defaultColWidth="8.6640625" defaultRowHeight="14.4" x14ac:dyDescent="0.3"/>
  <cols>
    <col min="1" max="1" width="13" customWidth="1"/>
    <col min="2" max="2" width="8" customWidth="1"/>
    <col min="3" max="3" width="38" customWidth="1"/>
    <col min="4" max="4" width="30" customWidth="1"/>
    <col min="5" max="5" width="10" customWidth="1"/>
    <col min="6" max="6" width="14" customWidth="1"/>
    <col min="7" max="7" width="45" customWidth="1"/>
    <col min="8" max="8" width="35" customWidth="1"/>
    <col min="9" max="9" width="8" customWidth="1"/>
  </cols>
  <sheetData>
    <row r="1" spans="1:9" ht="36" customHeight="1" x14ac:dyDescent="0.3">
      <c r="A1" s="54" t="s">
        <v>563</v>
      </c>
      <c r="B1" s="54"/>
      <c r="C1" s="54"/>
      <c r="D1" s="54"/>
      <c r="E1" s="54"/>
      <c r="F1" s="54"/>
      <c r="G1" s="54"/>
      <c r="H1" s="54"/>
      <c r="I1" s="54"/>
    </row>
    <row r="2" spans="1:9" ht="25.5" customHeight="1" x14ac:dyDescent="0.3">
      <c r="A2" s="24" t="s">
        <v>29</v>
      </c>
      <c r="B2" s="24" t="s">
        <v>564</v>
      </c>
      <c r="C2" s="24" t="s">
        <v>565</v>
      </c>
      <c r="D2" s="24" t="s">
        <v>566</v>
      </c>
      <c r="E2" s="24" t="s">
        <v>567</v>
      </c>
      <c r="F2" s="24" t="s">
        <v>568</v>
      </c>
      <c r="G2" s="24" t="s">
        <v>569</v>
      </c>
      <c r="H2" s="24" t="s">
        <v>570</v>
      </c>
      <c r="I2" s="24" t="s">
        <v>41</v>
      </c>
    </row>
    <row r="3" spans="1:9" ht="33.75" customHeight="1" x14ac:dyDescent="0.3">
      <c r="A3" s="29" t="s">
        <v>62</v>
      </c>
      <c r="B3" s="34" t="s">
        <v>571</v>
      </c>
      <c r="C3" s="29" t="s">
        <v>572</v>
      </c>
      <c r="D3" s="29" t="s">
        <v>573</v>
      </c>
      <c r="E3" s="29" t="s">
        <v>51</v>
      </c>
      <c r="F3" s="29" t="s">
        <v>574</v>
      </c>
      <c r="G3" s="29" t="s">
        <v>575</v>
      </c>
      <c r="H3" s="29" t="s">
        <v>576</v>
      </c>
      <c r="I3" s="29" t="s">
        <v>577</v>
      </c>
    </row>
    <row r="4" spans="1:9" ht="33.75" customHeight="1" x14ac:dyDescent="0.3">
      <c r="A4" s="29" t="s">
        <v>62</v>
      </c>
      <c r="B4" s="34" t="s">
        <v>571</v>
      </c>
      <c r="C4" s="29" t="s">
        <v>578</v>
      </c>
      <c r="D4" s="29" t="s">
        <v>579</v>
      </c>
      <c r="E4" s="29" t="s">
        <v>51</v>
      </c>
      <c r="F4" s="29" t="s">
        <v>574</v>
      </c>
      <c r="G4" s="29" t="s">
        <v>580</v>
      </c>
      <c r="H4" s="29" t="s">
        <v>581</v>
      </c>
      <c r="I4" s="29" t="s">
        <v>582</v>
      </c>
    </row>
    <row r="5" spans="1:9" ht="33.75" customHeight="1" x14ac:dyDescent="0.3">
      <c r="A5" s="29" t="s">
        <v>62</v>
      </c>
      <c r="B5" s="35" t="s">
        <v>583</v>
      </c>
      <c r="C5" s="29" t="s">
        <v>584</v>
      </c>
      <c r="D5" s="29" t="s">
        <v>585</v>
      </c>
      <c r="E5" s="29" t="s">
        <v>68</v>
      </c>
      <c r="F5" s="29" t="s">
        <v>586</v>
      </c>
      <c r="G5" s="29" t="s">
        <v>574</v>
      </c>
      <c r="H5" s="29" t="s">
        <v>587</v>
      </c>
      <c r="I5" s="29" t="s">
        <v>582</v>
      </c>
    </row>
    <row r="6" spans="1:9" ht="33.75" customHeight="1" x14ac:dyDescent="0.3">
      <c r="A6" s="29" t="s">
        <v>62</v>
      </c>
      <c r="B6" s="34" t="s">
        <v>571</v>
      </c>
      <c r="C6" s="29" t="s">
        <v>588</v>
      </c>
      <c r="D6" s="29" t="s">
        <v>589</v>
      </c>
      <c r="E6" s="29" t="s">
        <v>68</v>
      </c>
      <c r="F6" s="29" t="s">
        <v>586</v>
      </c>
      <c r="G6" s="29" t="s">
        <v>590</v>
      </c>
      <c r="H6" s="29" t="s">
        <v>591</v>
      </c>
      <c r="I6" s="29" t="s">
        <v>582</v>
      </c>
    </row>
    <row r="7" spans="1:9" ht="33.75" customHeight="1" x14ac:dyDescent="0.3">
      <c r="A7" s="36" t="s">
        <v>592</v>
      </c>
      <c r="B7" s="35" t="s">
        <v>583</v>
      </c>
      <c r="C7" s="36" t="s">
        <v>593</v>
      </c>
      <c r="D7" s="36" t="s">
        <v>594</v>
      </c>
      <c r="E7" s="36" t="s">
        <v>68</v>
      </c>
      <c r="F7" s="36" t="s">
        <v>586</v>
      </c>
      <c r="G7" s="36" t="s">
        <v>574</v>
      </c>
      <c r="H7" s="36" t="s">
        <v>595</v>
      </c>
      <c r="I7" s="36" t="s">
        <v>582</v>
      </c>
    </row>
    <row r="8" spans="1:9" ht="33.75" customHeight="1" x14ac:dyDescent="0.3">
      <c r="A8" s="36" t="s">
        <v>592</v>
      </c>
      <c r="B8" s="37" t="s">
        <v>596</v>
      </c>
      <c r="C8" s="36" t="s">
        <v>593</v>
      </c>
      <c r="D8" s="36" t="s">
        <v>597</v>
      </c>
      <c r="E8" s="36" t="s">
        <v>68</v>
      </c>
      <c r="F8" s="36" t="s">
        <v>598</v>
      </c>
      <c r="G8" s="36" t="s">
        <v>599</v>
      </c>
      <c r="H8" s="36" t="s">
        <v>600</v>
      </c>
      <c r="I8" s="36" t="s">
        <v>582</v>
      </c>
    </row>
    <row r="9" spans="1:9" ht="33.75" customHeight="1" x14ac:dyDescent="0.3">
      <c r="A9" s="36" t="s">
        <v>592</v>
      </c>
      <c r="B9" s="34" t="s">
        <v>571</v>
      </c>
      <c r="C9" s="36" t="s">
        <v>601</v>
      </c>
      <c r="D9" s="36" t="s">
        <v>602</v>
      </c>
      <c r="E9" s="36" t="s">
        <v>68</v>
      </c>
      <c r="F9" s="36" t="s">
        <v>598</v>
      </c>
      <c r="G9" s="36" t="s">
        <v>603</v>
      </c>
      <c r="H9" s="36" t="s">
        <v>604</v>
      </c>
      <c r="I9" s="36" t="s">
        <v>577</v>
      </c>
    </row>
    <row r="10" spans="1:9" ht="33.75" customHeight="1" x14ac:dyDescent="0.3">
      <c r="A10" s="28" t="s">
        <v>605</v>
      </c>
      <c r="B10" s="35" t="s">
        <v>583</v>
      </c>
      <c r="C10" s="28" t="s">
        <v>606</v>
      </c>
      <c r="D10" s="28" t="s">
        <v>607</v>
      </c>
      <c r="E10" s="28" t="s">
        <v>68</v>
      </c>
      <c r="F10" s="28" t="s">
        <v>586</v>
      </c>
      <c r="G10" s="28" t="s">
        <v>574</v>
      </c>
      <c r="H10" s="28" t="s">
        <v>608</v>
      </c>
      <c r="I10" s="28" t="s">
        <v>582</v>
      </c>
    </row>
    <row r="11" spans="1:9" ht="33.75" customHeight="1" x14ac:dyDescent="0.3">
      <c r="A11" s="28" t="s">
        <v>605</v>
      </c>
      <c r="B11" s="34" t="s">
        <v>571</v>
      </c>
      <c r="C11" s="28" t="s">
        <v>606</v>
      </c>
      <c r="D11" s="28" t="s">
        <v>609</v>
      </c>
      <c r="E11" s="28" t="s">
        <v>68</v>
      </c>
      <c r="F11" s="28" t="s">
        <v>598</v>
      </c>
      <c r="G11" s="28" t="s">
        <v>610</v>
      </c>
      <c r="H11" s="28" t="s">
        <v>611</v>
      </c>
      <c r="I11" s="28" t="s">
        <v>577</v>
      </c>
    </row>
    <row r="12" spans="1:9" ht="33.75" customHeight="1" x14ac:dyDescent="0.3">
      <c r="A12" s="28" t="s">
        <v>605</v>
      </c>
      <c r="B12" s="37" t="s">
        <v>596</v>
      </c>
      <c r="C12" s="28" t="s">
        <v>612</v>
      </c>
      <c r="D12" s="28" t="s">
        <v>613</v>
      </c>
      <c r="E12" s="28" t="s">
        <v>68</v>
      </c>
      <c r="F12" s="28" t="s">
        <v>598</v>
      </c>
      <c r="G12" s="28" t="s">
        <v>610</v>
      </c>
      <c r="H12" s="28" t="s">
        <v>614</v>
      </c>
      <c r="I12" s="28" t="s">
        <v>582</v>
      </c>
    </row>
    <row r="13" spans="1:9" ht="33.75" customHeight="1" x14ac:dyDescent="0.3">
      <c r="A13" s="28" t="s">
        <v>605</v>
      </c>
      <c r="B13" s="38" t="s">
        <v>615</v>
      </c>
      <c r="C13" s="28" t="s">
        <v>612</v>
      </c>
      <c r="D13" s="28" t="s">
        <v>616</v>
      </c>
      <c r="E13" s="28" t="s">
        <v>68</v>
      </c>
      <c r="F13" s="28" t="s">
        <v>598</v>
      </c>
      <c r="G13" s="28" t="s">
        <v>574</v>
      </c>
      <c r="H13" s="28" t="s">
        <v>617</v>
      </c>
      <c r="I13" s="28" t="s">
        <v>582</v>
      </c>
    </row>
    <row r="14" spans="1:9" ht="33.75" customHeight="1" x14ac:dyDescent="0.3">
      <c r="A14" s="26" t="s">
        <v>85</v>
      </c>
      <c r="B14" s="35" t="s">
        <v>583</v>
      </c>
      <c r="C14" s="26" t="s">
        <v>618</v>
      </c>
      <c r="D14" s="26" t="s">
        <v>619</v>
      </c>
      <c r="E14" s="26" t="s">
        <v>68</v>
      </c>
      <c r="F14" s="26" t="s">
        <v>586</v>
      </c>
      <c r="G14" s="26" t="s">
        <v>620</v>
      </c>
      <c r="H14" s="26" t="s">
        <v>621</v>
      </c>
      <c r="I14" s="26" t="s">
        <v>582</v>
      </c>
    </row>
    <row r="15" spans="1:9" ht="33.75" customHeight="1" x14ac:dyDescent="0.3">
      <c r="A15" s="26" t="s">
        <v>85</v>
      </c>
      <c r="B15" s="34" t="s">
        <v>571</v>
      </c>
      <c r="C15" s="26" t="s">
        <v>618</v>
      </c>
      <c r="D15" s="26" t="s">
        <v>622</v>
      </c>
      <c r="E15" s="26" t="s">
        <v>68</v>
      </c>
      <c r="F15" s="26" t="s">
        <v>598</v>
      </c>
      <c r="G15" s="26" t="s">
        <v>623</v>
      </c>
      <c r="H15" s="26" t="s">
        <v>624</v>
      </c>
      <c r="I15" s="26" t="s">
        <v>577</v>
      </c>
    </row>
    <row r="16" spans="1:9" ht="33.75" customHeight="1" x14ac:dyDescent="0.3">
      <c r="A16" s="26" t="s">
        <v>85</v>
      </c>
      <c r="B16" s="35" t="s">
        <v>583</v>
      </c>
      <c r="C16" s="26" t="s">
        <v>625</v>
      </c>
      <c r="D16" s="26" t="s">
        <v>626</v>
      </c>
      <c r="E16" s="26" t="s">
        <v>68</v>
      </c>
      <c r="F16" s="26" t="s">
        <v>586</v>
      </c>
      <c r="G16" s="26" t="s">
        <v>574</v>
      </c>
      <c r="H16" s="26" t="s">
        <v>627</v>
      </c>
      <c r="I16" s="26" t="s">
        <v>582</v>
      </c>
    </row>
    <row r="17" spans="1:9" ht="33.75" customHeight="1" x14ac:dyDescent="0.3">
      <c r="A17" s="26" t="s">
        <v>85</v>
      </c>
      <c r="B17" s="37" t="s">
        <v>596</v>
      </c>
      <c r="C17" s="26" t="s">
        <v>625</v>
      </c>
      <c r="D17" s="26" t="s">
        <v>628</v>
      </c>
      <c r="E17" s="26" t="s">
        <v>68</v>
      </c>
      <c r="F17" s="26" t="s">
        <v>598</v>
      </c>
      <c r="G17" s="26" t="s">
        <v>629</v>
      </c>
      <c r="H17" s="26" t="s">
        <v>630</v>
      </c>
      <c r="I17" s="26" t="s">
        <v>582</v>
      </c>
    </row>
    <row r="18" spans="1:9" ht="33.75" customHeight="1" x14ac:dyDescent="0.3">
      <c r="A18" s="26" t="s">
        <v>85</v>
      </c>
      <c r="B18" s="38" t="s">
        <v>615</v>
      </c>
      <c r="C18" s="26" t="s">
        <v>625</v>
      </c>
      <c r="D18" s="26" t="s">
        <v>631</v>
      </c>
      <c r="E18" s="26" t="s">
        <v>68</v>
      </c>
      <c r="F18" s="26" t="s">
        <v>598</v>
      </c>
      <c r="G18" s="26" t="s">
        <v>574</v>
      </c>
      <c r="H18" s="26" t="s">
        <v>617</v>
      </c>
      <c r="I18" s="26" t="s">
        <v>582</v>
      </c>
    </row>
    <row r="19" spans="1:9" ht="33.75" customHeight="1" x14ac:dyDescent="0.3">
      <c r="A19" s="39" t="s">
        <v>104</v>
      </c>
      <c r="B19" s="35" t="s">
        <v>583</v>
      </c>
      <c r="C19" s="39" t="s">
        <v>632</v>
      </c>
      <c r="D19" s="39" t="s">
        <v>633</v>
      </c>
      <c r="E19" s="39" t="s">
        <v>68</v>
      </c>
      <c r="F19" s="39" t="s">
        <v>586</v>
      </c>
      <c r="G19" s="39" t="s">
        <v>574</v>
      </c>
      <c r="H19" s="39" t="s">
        <v>634</v>
      </c>
      <c r="I19" s="39" t="s">
        <v>582</v>
      </c>
    </row>
    <row r="20" spans="1:9" ht="33.75" customHeight="1" x14ac:dyDescent="0.3">
      <c r="A20" s="39" t="s">
        <v>104</v>
      </c>
      <c r="B20" s="34" t="s">
        <v>571</v>
      </c>
      <c r="C20" s="39" t="s">
        <v>632</v>
      </c>
      <c r="D20" s="39" t="s">
        <v>635</v>
      </c>
      <c r="E20" s="39" t="s">
        <v>68</v>
      </c>
      <c r="F20" s="39" t="s">
        <v>598</v>
      </c>
      <c r="G20" s="39" t="s">
        <v>636</v>
      </c>
      <c r="H20" s="39" t="s">
        <v>637</v>
      </c>
      <c r="I20" s="39" t="s">
        <v>577</v>
      </c>
    </row>
    <row r="21" spans="1:9" ht="33.75" customHeight="1" x14ac:dyDescent="0.3">
      <c r="A21" s="39" t="s">
        <v>104</v>
      </c>
      <c r="B21" s="37" t="s">
        <v>596</v>
      </c>
      <c r="C21" s="39" t="s">
        <v>638</v>
      </c>
      <c r="D21" s="39" t="s">
        <v>639</v>
      </c>
      <c r="E21" s="39" t="s">
        <v>68</v>
      </c>
      <c r="F21" s="39" t="s">
        <v>598</v>
      </c>
      <c r="G21" s="39" t="s">
        <v>640</v>
      </c>
      <c r="H21" s="39" t="s">
        <v>641</v>
      </c>
      <c r="I21" s="39" t="s">
        <v>582</v>
      </c>
    </row>
    <row r="22" spans="1:9" ht="33.75" customHeight="1" x14ac:dyDescent="0.3">
      <c r="A22" s="39" t="s">
        <v>104</v>
      </c>
      <c r="B22" s="38" t="s">
        <v>615</v>
      </c>
      <c r="C22" s="39" t="s">
        <v>638</v>
      </c>
      <c r="D22" s="39" t="s">
        <v>642</v>
      </c>
      <c r="E22" s="39" t="s">
        <v>68</v>
      </c>
      <c r="F22" s="39" t="s">
        <v>598</v>
      </c>
      <c r="G22" s="39" t="s">
        <v>574</v>
      </c>
      <c r="H22" s="39" t="s">
        <v>617</v>
      </c>
      <c r="I22" s="39" t="s">
        <v>582</v>
      </c>
    </row>
    <row r="23" spans="1:9" ht="33.75" customHeight="1" x14ac:dyDescent="0.3">
      <c r="A23" s="40" t="s">
        <v>110</v>
      </c>
      <c r="B23" s="35" t="s">
        <v>583</v>
      </c>
      <c r="C23" s="40" t="s">
        <v>643</v>
      </c>
      <c r="D23" s="40" t="s">
        <v>644</v>
      </c>
      <c r="E23" s="40" t="s">
        <v>68</v>
      </c>
      <c r="F23" s="40" t="s">
        <v>586</v>
      </c>
      <c r="G23" s="40" t="s">
        <v>645</v>
      </c>
      <c r="H23" s="40" t="s">
        <v>646</v>
      </c>
      <c r="I23" s="40" t="s">
        <v>582</v>
      </c>
    </row>
    <row r="24" spans="1:9" ht="33.75" customHeight="1" x14ac:dyDescent="0.3">
      <c r="A24" s="40" t="s">
        <v>110</v>
      </c>
      <c r="B24" s="34" t="s">
        <v>571</v>
      </c>
      <c r="C24" s="40" t="s">
        <v>643</v>
      </c>
      <c r="D24" s="40" t="s">
        <v>647</v>
      </c>
      <c r="E24" s="40" t="s">
        <v>68</v>
      </c>
      <c r="F24" s="40" t="s">
        <v>648</v>
      </c>
      <c r="G24" s="40" t="s">
        <v>649</v>
      </c>
      <c r="H24" s="40" t="s">
        <v>650</v>
      </c>
      <c r="I24" s="40" t="s">
        <v>577</v>
      </c>
    </row>
    <row r="25" spans="1:9" ht="33.75" customHeight="1" x14ac:dyDescent="0.3">
      <c r="A25" s="40" t="s">
        <v>110</v>
      </c>
      <c r="B25" s="35" t="s">
        <v>583</v>
      </c>
      <c r="C25" s="40" t="s">
        <v>651</v>
      </c>
      <c r="D25" s="40" t="s">
        <v>652</v>
      </c>
      <c r="E25" s="40" t="s">
        <v>68</v>
      </c>
      <c r="F25" s="40" t="s">
        <v>586</v>
      </c>
      <c r="G25" s="40" t="s">
        <v>574</v>
      </c>
      <c r="H25" s="40" t="s">
        <v>653</v>
      </c>
      <c r="I25" s="40" t="s">
        <v>582</v>
      </c>
    </row>
    <row r="26" spans="1:9" ht="33.75" customHeight="1" x14ac:dyDescent="0.3">
      <c r="A26" s="25" t="s">
        <v>123</v>
      </c>
      <c r="B26" s="35" t="s">
        <v>583</v>
      </c>
      <c r="C26" s="25" t="s">
        <v>654</v>
      </c>
      <c r="D26" s="25" t="s">
        <v>655</v>
      </c>
      <c r="E26" s="25" t="s">
        <v>68</v>
      </c>
      <c r="F26" s="25" t="s">
        <v>586</v>
      </c>
      <c r="G26" s="25" t="s">
        <v>656</v>
      </c>
      <c r="H26" s="25" t="s">
        <v>657</v>
      </c>
      <c r="I26" s="25" t="s">
        <v>582</v>
      </c>
    </row>
    <row r="27" spans="1:9" ht="33.75" customHeight="1" x14ac:dyDescent="0.3">
      <c r="A27" s="25" t="s">
        <v>123</v>
      </c>
      <c r="B27" s="34" t="s">
        <v>571</v>
      </c>
      <c r="C27" s="25" t="s">
        <v>654</v>
      </c>
      <c r="D27" s="25" t="s">
        <v>658</v>
      </c>
      <c r="E27" s="25" t="s">
        <v>68</v>
      </c>
      <c r="F27" s="25" t="s">
        <v>648</v>
      </c>
      <c r="G27" s="25" t="s">
        <v>659</v>
      </c>
      <c r="H27" s="25" t="s">
        <v>660</v>
      </c>
      <c r="I27" s="25" t="s">
        <v>577</v>
      </c>
    </row>
    <row r="28" spans="1:9" ht="33.75" customHeight="1" x14ac:dyDescent="0.3">
      <c r="A28" s="25" t="s">
        <v>123</v>
      </c>
      <c r="B28" s="35" t="s">
        <v>583</v>
      </c>
      <c r="C28" s="25" t="s">
        <v>661</v>
      </c>
      <c r="D28" s="25" t="s">
        <v>662</v>
      </c>
      <c r="E28" s="25" t="s">
        <v>68</v>
      </c>
      <c r="F28" s="25" t="s">
        <v>586</v>
      </c>
      <c r="G28" s="25" t="s">
        <v>574</v>
      </c>
      <c r="H28" s="25" t="s">
        <v>663</v>
      </c>
      <c r="I28" s="25" t="s">
        <v>582</v>
      </c>
    </row>
    <row r="29" spans="1:9" ht="33.75" customHeight="1" x14ac:dyDescent="0.3">
      <c r="A29" s="31" t="s">
        <v>142</v>
      </c>
      <c r="B29" s="35" t="s">
        <v>583</v>
      </c>
      <c r="C29" s="31" t="s">
        <v>664</v>
      </c>
      <c r="D29" s="31" t="s">
        <v>665</v>
      </c>
      <c r="E29" s="31" t="s">
        <v>68</v>
      </c>
      <c r="F29" s="31" t="s">
        <v>586</v>
      </c>
      <c r="G29" s="31" t="s">
        <v>574</v>
      </c>
      <c r="H29" s="31" t="s">
        <v>666</v>
      </c>
      <c r="I29" s="31" t="s">
        <v>582</v>
      </c>
    </row>
    <row r="30" spans="1:9" ht="33.75" customHeight="1" x14ac:dyDescent="0.3">
      <c r="A30" s="31" t="s">
        <v>142</v>
      </c>
      <c r="B30" s="35" t="s">
        <v>583</v>
      </c>
      <c r="C30" s="31" t="s">
        <v>667</v>
      </c>
      <c r="D30" s="31" t="s">
        <v>668</v>
      </c>
      <c r="E30" s="31" t="s">
        <v>68</v>
      </c>
      <c r="F30" s="31" t="s">
        <v>586</v>
      </c>
      <c r="G30" s="31" t="s">
        <v>669</v>
      </c>
      <c r="H30" s="31" t="s">
        <v>670</v>
      </c>
      <c r="I30" s="31" t="s">
        <v>582</v>
      </c>
    </row>
    <row r="31" spans="1:9" ht="33.75" customHeight="1" x14ac:dyDescent="0.3">
      <c r="A31" s="31" t="s">
        <v>142</v>
      </c>
      <c r="B31" s="34" t="s">
        <v>571</v>
      </c>
      <c r="C31" s="31" t="s">
        <v>671</v>
      </c>
      <c r="D31" s="31" t="s">
        <v>672</v>
      </c>
      <c r="E31" s="31" t="s">
        <v>68</v>
      </c>
      <c r="F31" s="31" t="s">
        <v>598</v>
      </c>
      <c r="G31" s="31" t="s">
        <v>673</v>
      </c>
      <c r="H31" s="31" t="s">
        <v>674</v>
      </c>
      <c r="I31" s="31" t="s">
        <v>577</v>
      </c>
    </row>
    <row r="32" spans="1:9" ht="33.75" customHeight="1" x14ac:dyDescent="0.3">
      <c r="A32" s="32" t="s">
        <v>148</v>
      </c>
      <c r="B32" s="35" t="s">
        <v>583</v>
      </c>
      <c r="C32" s="32" t="s">
        <v>675</v>
      </c>
      <c r="D32" s="32" t="s">
        <v>676</v>
      </c>
      <c r="E32" s="32" t="s">
        <v>68</v>
      </c>
      <c r="F32" s="32" t="s">
        <v>586</v>
      </c>
      <c r="G32" s="32" t="s">
        <v>574</v>
      </c>
      <c r="H32" s="32" t="s">
        <v>677</v>
      </c>
      <c r="I32" s="32" t="s">
        <v>582</v>
      </c>
    </row>
    <row r="33" spans="1:9" ht="33.75" customHeight="1" x14ac:dyDescent="0.3">
      <c r="A33" s="32" t="s">
        <v>148</v>
      </c>
      <c r="B33" s="35" t="s">
        <v>583</v>
      </c>
      <c r="C33" s="32" t="s">
        <v>678</v>
      </c>
      <c r="D33" s="32" t="s">
        <v>679</v>
      </c>
      <c r="E33" s="32" t="s">
        <v>68</v>
      </c>
      <c r="F33" s="32" t="s">
        <v>586</v>
      </c>
      <c r="G33" s="32" t="s">
        <v>680</v>
      </c>
      <c r="H33" s="32" t="s">
        <v>681</v>
      </c>
      <c r="I33" s="32" t="s">
        <v>582</v>
      </c>
    </row>
    <row r="34" spans="1:9" ht="33.75" customHeight="1" x14ac:dyDescent="0.3">
      <c r="A34" s="32" t="s">
        <v>148</v>
      </c>
      <c r="B34" s="35" t="s">
        <v>583</v>
      </c>
      <c r="C34" s="32" t="s">
        <v>682</v>
      </c>
      <c r="D34" s="32" t="s">
        <v>683</v>
      </c>
      <c r="E34" s="32" t="s">
        <v>68</v>
      </c>
      <c r="F34" s="32" t="s">
        <v>586</v>
      </c>
      <c r="G34" s="32" t="s">
        <v>684</v>
      </c>
      <c r="H34" s="32" t="s">
        <v>685</v>
      </c>
      <c r="I34" s="32" t="s">
        <v>582</v>
      </c>
    </row>
    <row r="35" spans="1:9" ht="33.75" customHeight="1" x14ac:dyDescent="0.3">
      <c r="A35" s="41" t="s">
        <v>160</v>
      </c>
      <c r="B35" s="34" t="s">
        <v>571</v>
      </c>
      <c r="C35" s="41" t="s">
        <v>686</v>
      </c>
      <c r="D35" s="41" t="s">
        <v>687</v>
      </c>
      <c r="E35" s="41" t="s">
        <v>68</v>
      </c>
      <c r="F35" s="41" t="s">
        <v>598</v>
      </c>
      <c r="G35" s="41" t="s">
        <v>688</v>
      </c>
      <c r="H35" s="41" t="s">
        <v>689</v>
      </c>
      <c r="I35" s="41" t="s">
        <v>577</v>
      </c>
    </row>
    <row r="36" spans="1:9" ht="33.75" customHeight="1" x14ac:dyDescent="0.3">
      <c r="A36" s="41" t="s">
        <v>160</v>
      </c>
      <c r="B36" s="35" t="s">
        <v>583</v>
      </c>
      <c r="C36" s="41" t="s">
        <v>690</v>
      </c>
      <c r="D36" s="41" t="s">
        <v>691</v>
      </c>
      <c r="E36" s="41" t="s">
        <v>68</v>
      </c>
      <c r="F36" s="41" t="s">
        <v>586</v>
      </c>
      <c r="G36" s="41" t="s">
        <v>574</v>
      </c>
      <c r="H36" s="41" t="s">
        <v>692</v>
      </c>
      <c r="I36" s="41" t="s">
        <v>582</v>
      </c>
    </row>
    <row r="37" spans="1:9" ht="33.75" customHeight="1" x14ac:dyDescent="0.3">
      <c r="A37" s="29" t="s">
        <v>693</v>
      </c>
      <c r="B37" s="34" t="s">
        <v>571</v>
      </c>
      <c r="C37" s="29" t="s">
        <v>694</v>
      </c>
      <c r="D37" s="29" t="s">
        <v>695</v>
      </c>
      <c r="E37" s="29" t="s">
        <v>68</v>
      </c>
      <c r="F37" s="29" t="s">
        <v>598</v>
      </c>
      <c r="G37" s="29" t="s">
        <v>696</v>
      </c>
      <c r="H37" s="29" t="s">
        <v>697</v>
      </c>
      <c r="I37" s="29" t="s">
        <v>582</v>
      </c>
    </row>
    <row r="38" spans="1:9" ht="33.75" customHeight="1" x14ac:dyDescent="0.3">
      <c r="A38" s="29" t="s">
        <v>693</v>
      </c>
      <c r="B38" s="34" t="s">
        <v>571</v>
      </c>
      <c r="C38" s="29" t="s">
        <v>698</v>
      </c>
      <c r="D38" s="29" t="s">
        <v>699</v>
      </c>
      <c r="E38" s="29" t="s">
        <v>68</v>
      </c>
      <c r="F38" s="29" t="s">
        <v>586</v>
      </c>
      <c r="G38" s="29" t="s">
        <v>700</v>
      </c>
      <c r="H38" s="29" t="s">
        <v>701</v>
      </c>
      <c r="I38" s="29" t="s">
        <v>582</v>
      </c>
    </row>
    <row r="39" spans="1:9" ht="33.75" customHeight="1" x14ac:dyDescent="0.3">
      <c r="A39" s="29" t="s">
        <v>693</v>
      </c>
      <c r="B39" s="35" t="s">
        <v>583</v>
      </c>
      <c r="C39" s="29" t="s">
        <v>702</v>
      </c>
      <c r="D39" s="29" t="s">
        <v>703</v>
      </c>
      <c r="E39" s="29" t="s">
        <v>68</v>
      </c>
      <c r="F39" s="29" t="s">
        <v>586</v>
      </c>
      <c r="G39" s="29" t="s">
        <v>574</v>
      </c>
      <c r="H39" s="29" t="s">
        <v>704</v>
      </c>
      <c r="I39" s="29" t="s">
        <v>582</v>
      </c>
    </row>
  </sheetData>
  <autoFilter ref="A2:I39" xr:uid="{00000000-0009-0000-0000-000006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"/>
  <sheetViews>
    <sheetView showGridLines="0" zoomScaleNormal="100" workbookViewId="0">
      <pane ySplit="2" topLeftCell="A3" activePane="bottomLeft" state="frozen"/>
      <selection pane="bottomLeft" activeCell="G2" sqref="G2"/>
    </sheetView>
  </sheetViews>
  <sheetFormatPr defaultColWidth="8.6640625" defaultRowHeight="14.4" x14ac:dyDescent="0.3"/>
  <cols>
    <col min="1" max="1" width="4" customWidth="1"/>
    <col min="2" max="2" width="8" customWidth="1"/>
    <col min="3" max="3" width="52" customWidth="1"/>
    <col min="4" max="4" width="14" customWidth="1"/>
    <col min="5" max="5" width="40" customWidth="1"/>
    <col min="6" max="6" width="10" customWidth="1"/>
    <col min="7" max="7" width="17.33203125" bestFit="1" customWidth="1"/>
    <col min="8" max="8" width="22" customWidth="1"/>
  </cols>
  <sheetData>
    <row r="1" spans="1:8" ht="36" customHeight="1" x14ac:dyDescent="0.3">
      <c r="A1" s="54" t="s">
        <v>705</v>
      </c>
      <c r="B1" s="54"/>
      <c r="C1" s="54"/>
      <c r="D1" s="54"/>
      <c r="E1" s="54"/>
      <c r="F1" s="54"/>
      <c r="G1" s="54"/>
      <c r="H1" s="54"/>
    </row>
    <row r="2" spans="1:8" ht="25.5" customHeight="1" x14ac:dyDescent="0.3">
      <c r="A2" s="24" t="s">
        <v>706</v>
      </c>
      <c r="B2" s="24" t="s">
        <v>707</v>
      </c>
      <c r="C2" s="24" t="s">
        <v>708</v>
      </c>
      <c r="D2" s="24" t="s">
        <v>29</v>
      </c>
      <c r="E2" s="24" t="s">
        <v>709</v>
      </c>
      <c r="F2" s="24" t="s">
        <v>710</v>
      </c>
      <c r="G2" s="24" t="s">
        <v>711</v>
      </c>
      <c r="H2" s="24" t="s">
        <v>43</v>
      </c>
    </row>
    <row r="3" spans="1:8" ht="31.5" customHeight="1" x14ac:dyDescent="0.3">
      <c r="A3" s="25">
        <v>1</v>
      </c>
      <c r="B3" s="35" t="s">
        <v>712</v>
      </c>
      <c r="C3" s="25" t="s">
        <v>713</v>
      </c>
      <c r="D3" s="25" t="s">
        <v>62</v>
      </c>
      <c r="E3" s="25" t="s">
        <v>714</v>
      </c>
      <c r="F3" s="25" t="s">
        <v>715</v>
      </c>
      <c r="G3" s="25">
        <v>22</v>
      </c>
      <c r="H3" s="25"/>
    </row>
    <row r="4" spans="1:8" ht="31.5" customHeight="1" x14ac:dyDescent="0.3">
      <c r="A4" s="25">
        <v>2</v>
      </c>
      <c r="B4" s="35" t="s">
        <v>712</v>
      </c>
      <c r="C4" s="25" t="s">
        <v>716</v>
      </c>
      <c r="D4" s="25" t="s">
        <v>62</v>
      </c>
      <c r="E4" s="25" t="s">
        <v>717</v>
      </c>
      <c r="F4" s="25" t="s">
        <v>715</v>
      </c>
      <c r="G4" s="25">
        <v>22</v>
      </c>
      <c r="H4" s="25"/>
    </row>
    <row r="5" spans="1:8" ht="31.5" customHeight="1" x14ac:dyDescent="0.3">
      <c r="A5" s="25">
        <v>3</v>
      </c>
      <c r="B5" s="35" t="s">
        <v>712</v>
      </c>
      <c r="C5" s="25" t="s">
        <v>718</v>
      </c>
      <c r="D5" s="25" t="s">
        <v>62</v>
      </c>
      <c r="E5" s="25" t="s">
        <v>719</v>
      </c>
      <c r="F5" s="25" t="s">
        <v>715</v>
      </c>
      <c r="G5" s="25">
        <v>22</v>
      </c>
      <c r="H5" s="25"/>
    </row>
    <row r="6" spans="1:8" ht="31.5" customHeight="1" x14ac:dyDescent="0.3">
      <c r="A6" s="25">
        <v>4</v>
      </c>
      <c r="B6" s="35" t="s">
        <v>712</v>
      </c>
      <c r="C6" s="25" t="s">
        <v>720</v>
      </c>
      <c r="D6" s="25" t="s">
        <v>85</v>
      </c>
      <c r="E6" s="25" t="s">
        <v>721</v>
      </c>
      <c r="F6" s="25" t="s">
        <v>715</v>
      </c>
      <c r="G6" s="25">
        <v>22</v>
      </c>
      <c r="H6" s="25"/>
    </row>
    <row r="7" spans="1:8" ht="31.5" customHeight="1" x14ac:dyDescent="0.3">
      <c r="A7" s="25">
        <v>5</v>
      </c>
      <c r="B7" s="35" t="s">
        <v>712</v>
      </c>
      <c r="C7" s="25" t="s">
        <v>722</v>
      </c>
      <c r="D7" s="25" t="s">
        <v>85</v>
      </c>
      <c r="E7" s="25" t="s">
        <v>723</v>
      </c>
      <c r="F7" s="25" t="s">
        <v>715</v>
      </c>
      <c r="G7" s="25">
        <v>22</v>
      </c>
      <c r="H7" s="25"/>
    </row>
    <row r="8" spans="1:8" ht="31.5" customHeight="1" x14ac:dyDescent="0.3">
      <c r="A8" s="25">
        <v>6</v>
      </c>
      <c r="B8" s="35" t="s">
        <v>712</v>
      </c>
      <c r="C8" s="25" t="s">
        <v>724</v>
      </c>
      <c r="D8" s="25" t="s">
        <v>123</v>
      </c>
      <c r="E8" s="25" t="s">
        <v>725</v>
      </c>
      <c r="F8" s="25" t="s">
        <v>715</v>
      </c>
      <c r="G8" s="25">
        <v>22</v>
      </c>
      <c r="H8" s="25"/>
    </row>
    <row r="9" spans="1:8" ht="31.5" customHeight="1" x14ac:dyDescent="0.3">
      <c r="A9" s="25">
        <v>7</v>
      </c>
      <c r="B9" s="35" t="s">
        <v>712</v>
      </c>
      <c r="C9" s="25" t="s">
        <v>726</v>
      </c>
      <c r="D9" s="25" t="s">
        <v>123</v>
      </c>
      <c r="E9" s="25" t="s">
        <v>727</v>
      </c>
      <c r="F9" s="25" t="s">
        <v>715</v>
      </c>
      <c r="G9" s="25">
        <v>22</v>
      </c>
      <c r="H9" s="25"/>
    </row>
    <row r="10" spans="1:8" ht="31.5" customHeight="1" x14ac:dyDescent="0.3">
      <c r="A10" s="25">
        <v>8</v>
      </c>
      <c r="B10" s="35" t="s">
        <v>712</v>
      </c>
      <c r="C10" s="25" t="s">
        <v>728</v>
      </c>
      <c r="D10" s="25" t="s">
        <v>110</v>
      </c>
      <c r="E10" s="25" t="s">
        <v>729</v>
      </c>
      <c r="F10" s="25" t="s">
        <v>715</v>
      </c>
      <c r="G10" s="25">
        <v>22</v>
      </c>
      <c r="H10" s="25"/>
    </row>
    <row r="11" spans="1:8" ht="31.5" customHeight="1" x14ac:dyDescent="0.3">
      <c r="A11" s="25">
        <v>9</v>
      </c>
      <c r="B11" s="35" t="s">
        <v>712</v>
      </c>
      <c r="C11" s="25" t="s">
        <v>730</v>
      </c>
      <c r="D11" s="25" t="s">
        <v>142</v>
      </c>
      <c r="E11" s="25" t="s">
        <v>731</v>
      </c>
      <c r="F11" s="25" t="s">
        <v>715</v>
      </c>
      <c r="G11" s="25">
        <v>22</v>
      </c>
      <c r="H11" s="25"/>
    </row>
    <row r="12" spans="1:8" ht="31.5" customHeight="1" x14ac:dyDescent="0.3">
      <c r="A12" s="25">
        <v>10</v>
      </c>
      <c r="B12" s="35" t="s">
        <v>712</v>
      </c>
      <c r="C12" s="25" t="s">
        <v>732</v>
      </c>
      <c r="D12" s="25" t="s">
        <v>142</v>
      </c>
      <c r="E12" s="25" t="s">
        <v>733</v>
      </c>
      <c r="F12" s="25" t="s">
        <v>715</v>
      </c>
      <c r="G12" s="25">
        <v>22</v>
      </c>
      <c r="H12" s="25"/>
    </row>
    <row r="13" spans="1:8" ht="31.5" customHeight="1" x14ac:dyDescent="0.3">
      <c r="A13" s="25">
        <v>11</v>
      </c>
      <c r="B13" s="35" t="s">
        <v>712</v>
      </c>
      <c r="C13" s="25" t="s">
        <v>734</v>
      </c>
      <c r="D13" s="25" t="s">
        <v>693</v>
      </c>
      <c r="E13" s="25" t="s">
        <v>735</v>
      </c>
      <c r="F13" s="25" t="s">
        <v>715</v>
      </c>
      <c r="G13" s="25">
        <v>22</v>
      </c>
      <c r="H13" s="25"/>
    </row>
    <row r="14" spans="1:8" ht="31.5" customHeight="1" x14ac:dyDescent="0.3">
      <c r="A14" s="26">
        <v>12</v>
      </c>
      <c r="B14" s="34" t="s">
        <v>736</v>
      </c>
      <c r="C14" s="26" t="s">
        <v>737</v>
      </c>
      <c r="D14" s="26" t="s">
        <v>62</v>
      </c>
      <c r="E14" s="26" t="s">
        <v>738</v>
      </c>
      <c r="F14" s="26" t="s">
        <v>715</v>
      </c>
      <c r="G14" s="26">
        <v>23</v>
      </c>
      <c r="H14" s="26"/>
    </row>
    <row r="15" spans="1:8" ht="31.5" customHeight="1" x14ac:dyDescent="0.3">
      <c r="A15" s="26">
        <v>13</v>
      </c>
      <c r="B15" s="34" t="s">
        <v>736</v>
      </c>
      <c r="C15" s="26" t="s">
        <v>739</v>
      </c>
      <c r="D15" s="26" t="s">
        <v>62</v>
      </c>
      <c r="E15" s="26" t="s">
        <v>740</v>
      </c>
      <c r="F15" s="26" t="s">
        <v>715</v>
      </c>
      <c r="G15" s="26">
        <v>23</v>
      </c>
      <c r="H15" s="26"/>
    </row>
    <row r="16" spans="1:8" ht="31.5" customHeight="1" x14ac:dyDescent="0.3">
      <c r="A16" s="26">
        <v>14</v>
      </c>
      <c r="B16" s="34" t="s">
        <v>736</v>
      </c>
      <c r="C16" s="26" t="s">
        <v>741</v>
      </c>
      <c r="D16" s="26" t="s">
        <v>62</v>
      </c>
      <c r="E16" s="26" t="s">
        <v>742</v>
      </c>
      <c r="F16" s="26" t="s">
        <v>715</v>
      </c>
      <c r="G16" s="26">
        <v>23</v>
      </c>
      <c r="H16" s="26"/>
    </row>
    <row r="17" spans="1:8" ht="31.5" customHeight="1" x14ac:dyDescent="0.3">
      <c r="A17" s="26">
        <v>15</v>
      </c>
      <c r="B17" s="34" t="s">
        <v>736</v>
      </c>
      <c r="C17" s="26" t="s">
        <v>743</v>
      </c>
      <c r="D17" s="26" t="s">
        <v>62</v>
      </c>
      <c r="E17" s="26" t="s">
        <v>744</v>
      </c>
      <c r="F17" s="26" t="s">
        <v>715</v>
      </c>
      <c r="G17" s="26">
        <v>23</v>
      </c>
      <c r="H17" s="26"/>
    </row>
    <row r="18" spans="1:8" ht="31.5" customHeight="1" x14ac:dyDescent="0.3">
      <c r="A18" s="26">
        <v>16</v>
      </c>
      <c r="B18" s="34" t="s">
        <v>736</v>
      </c>
      <c r="C18" s="26" t="s">
        <v>745</v>
      </c>
      <c r="D18" s="26" t="s">
        <v>85</v>
      </c>
      <c r="E18" s="26" t="s">
        <v>744</v>
      </c>
      <c r="F18" s="26" t="s">
        <v>715</v>
      </c>
      <c r="G18" s="26">
        <v>23</v>
      </c>
      <c r="H18" s="26"/>
    </row>
    <row r="19" spans="1:8" ht="31.5" customHeight="1" x14ac:dyDescent="0.3">
      <c r="A19" s="26">
        <v>17</v>
      </c>
      <c r="B19" s="34" t="s">
        <v>736</v>
      </c>
      <c r="C19" s="26" t="s">
        <v>746</v>
      </c>
      <c r="D19" s="26" t="s">
        <v>85</v>
      </c>
      <c r="E19" s="26" t="s">
        <v>747</v>
      </c>
      <c r="F19" s="26" t="s">
        <v>715</v>
      </c>
      <c r="G19" s="26">
        <v>23</v>
      </c>
      <c r="H19" s="26"/>
    </row>
    <row r="20" spans="1:8" ht="31.5" customHeight="1" x14ac:dyDescent="0.3">
      <c r="A20" s="26">
        <v>18</v>
      </c>
      <c r="B20" s="34" t="s">
        <v>736</v>
      </c>
      <c r="C20" s="26" t="s">
        <v>748</v>
      </c>
      <c r="D20" s="26" t="s">
        <v>85</v>
      </c>
      <c r="E20" s="26" t="s">
        <v>749</v>
      </c>
      <c r="F20" s="26" t="s">
        <v>715</v>
      </c>
      <c r="G20" s="26">
        <v>23</v>
      </c>
      <c r="H20" s="26"/>
    </row>
    <row r="21" spans="1:8" ht="31.5" customHeight="1" x14ac:dyDescent="0.3">
      <c r="A21" s="26">
        <v>19</v>
      </c>
      <c r="B21" s="34" t="s">
        <v>736</v>
      </c>
      <c r="C21" s="26" t="s">
        <v>750</v>
      </c>
      <c r="D21" s="26" t="s">
        <v>110</v>
      </c>
      <c r="E21" s="26" t="s">
        <v>751</v>
      </c>
      <c r="F21" s="26" t="s">
        <v>715</v>
      </c>
      <c r="G21" s="26">
        <v>23</v>
      </c>
      <c r="H21" s="26"/>
    </row>
    <row r="22" spans="1:8" ht="31.5" customHeight="1" x14ac:dyDescent="0.3">
      <c r="A22" s="26">
        <v>20</v>
      </c>
      <c r="B22" s="34" t="s">
        <v>736</v>
      </c>
      <c r="C22" s="26" t="s">
        <v>752</v>
      </c>
      <c r="D22" s="26" t="s">
        <v>123</v>
      </c>
      <c r="E22" s="26" t="s">
        <v>753</v>
      </c>
      <c r="F22" s="26" t="s">
        <v>715</v>
      </c>
      <c r="G22" s="26">
        <v>23</v>
      </c>
      <c r="H22" s="26"/>
    </row>
    <row r="23" spans="1:8" ht="31.5" customHeight="1" x14ac:dyDescent="0.3">
      <c r="A23" s="26">
        <v>21</v>
      </c>
      <c r="B23" s="34" t="s">
        <v>736</v>
      </c>
      <c r="C23" s="26" t="s">
        <v>754</v>
      </c>
      <c r="D23" s="26" t="s">
        <v>123</v>
      </c>
      <c r="E23" s="26" t="s">
        <v>755</v>
      </c>
      <c r="F23" s="26" t="s">
        <v>715</v>
      </c>
      <c r="G23" s="26">
        <v>23</v>
      </c>
      <c r="H23" s="26"/>
    </row>
    <row r="24" spans="1:8" ht="31.5" customHeight="1" x14ac:dyDescent="0.3">
      <c r="A24" s="26">
        <v>22</v>
      </c>
      <c r="B24" s="34" t="s">
        <v>736</v>
      </c>
      <c r="C24" s="26" t="s">
        <v>756</v>
      </c>
      <c r="D24" s="26" t="s">
        <v>142</v>
      </c>
      <c r="E24" s="26" t="s">
        <v>757</v>
      </c>
      <c r="F24" s="26" t="s">
        <v>715</v>
      </c>
      <c r="G24" s="26">
        <v>23</v>
      </c>
      <c r="H24" s="26"/>
    </row>
    <row r="25" spans="1:8" ht="31.5" customHeight="1" x14ac:dyDescent="0.3">
      <c r="A25" s="26">
        <v>23</v>
      </c>
      <c r="B25" s="34" t="s">
        <v>736</v>
      </c>
      <c r="C25" s="26" t="s">
        <v>758</v>
      </c>
      <c r="D25" s="26" t="s">
        <v>148</v>
      </c>
      <c r="E25" s="26" t="s">
        <v>759</v>
      </c>
      <c r="F25" s="26" t="s">
        <v>715</v>
      </c>
      <c r="G25" s="26">
        <v>23</v>
      </c>
      <c r="H25" s="26"/>
    </row>
    <row r="26" spans="1:8" ht="31.5" customHeight="1" x14ac:dyDescent="0.3">
      <c r="A26" s="26">
        <v>24</v>
      </c>
      <c r="B26" s="34" t="s">
        <v>736</v>
      </c>
      <c r="C26" s="26" t="s">
        <v>760</v>
      </c>
      <c r="D26" s="26" t="s">
        <v>160</v>
      </c>
      <c r="E26" s="26" t="s">
        <v>761</v>
      </c>
      <c r="F26" s="26" t="s">
        <v>715</v>
      </c>
      <c r="G26" s="26">
        <v>23</v>
      </c>
      <c r="H26" s="26"/>
    </row>
    <row r="27" spans="1:8" ht="31.5" customHeight="1" x14ac:dyDescent="0.3">
      <c r="A27" s="27">
        <v>25</v>
      </c>
      <c r="B27" s="37" t="s">
        <v>762</v>
      </c>
      <c r="C27" s="27" t="s">
        <v>763</v>
      </c>
      <c r="D27" s="27" t="s">
        <v>62</v>
      </c>
      <c r="E27" s="27" t="s">
        <v>764</v>
      </c>
      <c r="F27" s="27" t="s">
        <v>715</v>
      </c>
      <c r="G27" s="27">
        <v>24</v>
      </c>
      <c r="H27" s="27"/>
    </row>
    <row r="28" spans="1:8" ht="31.5" customHeight="1" x14ac:dyDescent="0.3">
      <c r="A28" s="27">
        <v>26</v>
      </c>
      <c r="B28" s="37" t="s">
        <v>762</v>
      </c>
      <c r="C28" s="27" t="s">
        <v>765</v>
      </c>
      <c r="D28" s="27" t="s">
        <v>62</v>
      </c>
      <c r="E28" s="27" t="s">
        <v>766</v>
      </c>
      <c r="F28" s="27" t="s">
        <v>715</v>
      </c>
      <c r="G28" s="27">
        <v>24</v>
      </c>
      <c r="H28" s="27"/>
    </row>
    <row r="29" spans="1:8" ht="31.5" customHeight="1" x14ac:dyDescent="0.3">
      <c r="A29" s="27">
        <v>27</v>
      </c>
      <c r="B29" s="37" t="s">
        <v>762</v>
      </c>
      <c r="C29" s="27" t="s">
        <v>767</v>
      </c>
      <c r="D29" s="27" t="s">
        <v>85</v>
      </c>
      <c r="E29" s="27" t="s">
        <v>768</v>
      </c>
      <c r="F29" s="27" t="s">
        <v>715</v>
      </c>
      <c r="G29" s="27">
        <v>24</v>
      </c>
      <c r="H29" s="27"/>
    </row>
    <row r="30" spans="1:8" ht="31.5" customHeight="1" x14ac:dyDescent="0.3">
      <c r="A30" s="27">
        <v>28</v>
      </c>
      <c r="B30" s="37" t="s">
        <v>762</v>
      </c>
      <c r="C30" s="27" t="s">
        <v>769</v>
      </c>
      <c r="D30" s="27" t="s">
        <v>104</v>
      </c>
      <c r="E30" s="27" t="s">
        <v>770</v>
      </c>
      <c r="F30" s="27" t="s">
        <v>715</v>
      </c>
      <c r="G30" s="27">
        <v>24</v>
      </c>
      <c r="H30" s="27"/>
    </row>
    <row r="31" spans="1:8" ht="31.5" customHeight="1" x14ac:dyDescent="0.3">
      <c r="A31" s="27">
        <v>29</v>
      </c>
      <c r="B31" s="37" t="s">
        <v>762</v>
      </c>
      <c r="C31" s="27" t="s">
        <v>771</v>
      </c>
      <c r="D31" s="27" t="s">
        <v>110</v>
      </c>
      <c r="E31" s="27" t="s">
        <v>772</v>
      </c>
      <c r="F31" s="27" t="s">
        <v>715</v>
      </c>
      <c r="G31" s="27">
        <v>24</v>
      </c>
      <c r="H31" s="27"/>
    </row>
    <row r="32" spans="1:8" ht="31.5" customHeight="1" x14ac:dyDescent="0.3">
      <c r="A32" s="27">
        <v>30</v>
      </c>
      <c r="B32" s="37" t="s">
        <v>762</v>
      </c>
      <c r="C32" s="27" t="s">
        <v>773</v>
      </c>
      <c r="D32" s="27" t="s">
        <v>123</v>
      </c>
      <c r="E32" s="27" t="s">
        <v>774</v>
      </c>
      <c r="F32" s="27" t="s">
        <v>715</v>
      </c>
      <c r="G32" s="27">
        <v>24</v>
      </c>
      <c r="H32" s="27"/>
    </row>
    <row r="33" spans="1:8" ht="31.5" customHeight="1" x14ac:dyDescent="0.3">
      <c r="A33" s="27">
        <v>31</v>
      </c>
      <c r="B33" s="37" t="s">
        <v>762</v>
      </c>
      <c r="C33" s="27" t="s">
        <v>775</v>
      </c>
      <c r="D33" s="27" t="s">
        <v>142</v>
      </c>
      <c r="E33" s="27" t="s">
        <v>776</v>
      </c>
      <c r="F33" s="27" t="s">
        <v>715</v>
      </c>
      <c r="G33" s="27">
        <v>24</v>
      </c>
      <c r="H33" s="27"/>
    </row>
    <row r="34" spans="1:8" ht="31.5" customHeight="1" x14ac:dyDescent="0.3">
      <c r="A34" s="27">
        <v>32</v>
      </c>
      <c r="B34" s="37" t="s">
        <v>762</v>
      </c>
      <c r="C34" s="27" t="s">
        <v>777</v>
      </c>
      <c r="D34" s="27" t="s">
        <v>142</v>
      </c>
      <c r="E34" s="27" t="s">
        <v>778</v>
      </c>
      <c r="F34" s="27" t="s">
        <v>715</v>
      </c>
      <c r="G34" s="27">
        <v>24</v>
      </c>
      <c r="H34" s="27"/>
    </row>
    <row r="35" spans="1:8" ht="31.5" customHeight="1" x14ac:dyDescent="0.3">
      <c r="A35" s="27">
        <v>33</v>
      </c>
      <c r="B35" s="37" t="s">
        <v>762</v>
      </c>
      <c r="C35" s="27" t="s">
        <v>779</v>
      </c>
      <c r="D35" s="27" t="s">
        <v>148</v>
      </c>
      <c r="E35" s="27" t="s">
        <v>780</v>
      </c>
      <c r="F35" s="27" t="s">
        <v>715</v>
      </c>
      <c r="G35" s="27">
        <v>24</v>
      </c>
      <c r="H35" s="27"/>
    </row>
    <row r="36" spans="1:8" ht="31.5" customHeight="1" x14ac:dyDescent="0.3">
      <c r="A36" s="27">
        <v>34</v>
      </c>
      <c r="B36" s="37" t="s">
        <v>762</v>
      </c>
      <c r="C36" s="27" t="s">
        <v>781</v>
      </c>
      <c r="D36" s="27" t="s">
        <v>160</v>
      </c>
      <c r="E36" s="27" t="s">
        <v>782</v>
      </c>
      <c r="F36" s="27" t="s">
        <v>715</v>
      </c>
      <c r="G36" s="27">
        <v>24</v>
      </c>
      <c r="H36" s="27"/>
    </row>
    <row r="37" spans="1:8" ht="31.5" customHeight="1" x14ac:dyDescent="0.3">
      <c r="A37" s="27">
        <v>35</v>
      </c>
      <c r="B37" s="37" t="s">
        <v>762</v>
      </c>
      <c r="C37" s="27" t="s">
        <v>783</v>
      </c>
      <c r="D37" s="27" t="s">
        <v>693</v>
      </c>
      <c r="E37" s="27" t="s">
        <v>784</v>
      </c>
      <c r="F37" s="27" t="s">
        <v>715</v>
      </c>
      <c r="G37" s="27">
        <v>24</v>
      </c>
      <c r="H37" s="27"/>
    </row>
    <row r="38" spans="1:8" ht="31.5" customHeight="1" x14ac:dyDescent="0.3">
      <c r="A38" s="27">
        <v>36</v>
      </c>
      <c r="B38" s="37" t="s">
        <v>762</v>
      </c>
      <c r="C38" s="27" t="s">
        <v>785</v>
      </c>
      <c r="D38" s="27" t="s">
        <v>786</v>
      </c>
      <c r="E38" s="27" t="s">
        <v>787</v>
      </c>
      <c r="F38" s="27" t="s">
        <v>715</v>
      </c>
      <c r="G38" s="27">
        <v>24</v>
      </c>
      <c r="H38" s="27"/>
    </row>
  </sheetData>
  <autoFilter ref="A2:H38" xr:uid="{00000000-0009-0000-0000-000007000000}"/>
  <mergeCells count="1">
    <mergeCell ref="A1:H1"/>
  </mergeCells>
  <dataValidations count="1">
    <dataValidation type="list" sqref="F3:F100" xr:uid="{00000000-0002-0000-0700-000000000000}">
      <formula1>"Pass,Fail,Skipped,Pending"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640625" defaultRowHeight="14.4" x14ac:dyDescent="0.3"/>
  <cols>
    <col min="1" max="1" width="4" customWidth="1"/>
    <col min="2" max="2" width="13" customWidth="1"/>
    <col min="3" max="3" width="48" customWidth="1"/>
    <col min="4" max="5" width="14" customWidth="1"/>
    <col min="6" max="6" width="42" customWidth="1"/>
    <col min="7" max="7" width="12" customWidth="1"/>
  </cols>
  <sheetData>
    <row r="1" spans="1:7" ht="36" customHeight="1" x14ac:dyDescent="0.3">
      <c r="A1" s="54" t="s">
        <v>788</v>
      </c>
      <c r="B1" s="54"/>
      <c r="C1" s="54"/>
      <c r="D1" s="54"/>
      <c r="E1" s="54"/>
      <c r="F1" s="54"/>
      <c r="G1" s="54"/>
    </row>
    <row r="2" spans="1:7" ht="25.5" customHeight="1" x14ac:dyDescent="0.3">
      <c r="A2" s="24" t="s">
        <v>706</v>
      </c>
      <c r="B2" s="24" t="s">
        <v>789</v>
      </c>
      <c r="C2" s="24" t="s">
        <v>790</v>
      </c>
      <c r="D2" s="24" t="s">
        <v>791</v>
      </c>
      <c r="E2" s="24" t="s">
        <v>41</v>
      </c>
      <c r="F2" s="24" t="s">
        <v>43</v>
      </c>
      <c r="G2" s="24" t="s">
        <v>792</v>
      </c>
    </row>
    <row r="3" spans="1:7" ht="30" customHeight="1" x14ac:dyDescent="0.3">
      <c r="A3" s="25">
        <v>1</v>
      </c>
      <c r="B3" s="25" t="s">
        <v>423</v>
      </c>
      <c r="C3" s="25" t="s">
        <v>793</v>
      </c>
      <c r="D3" s="25" t="s">
        <v>794</v>
      </c>
      <c r="E3" s="25" t="s">
        <v>54</v>
      </c>
      <c r="F3" s="25" t="s">
        <v>795</v>
      </c>
      <c r="G3" s="25" t="s">
        <v>796</v>
      </c>
    </row>
    <row r="4" spans="1:7" ht="30" customHeight="1" x14ac:dyDescent="0.3">
      <c r="A4" s="25">
        <v>2</v>
      </c>
      <c r="B4" s="25" t="s">
        <v>423</v>
      </c>
      <c r="C4" s="25" t="s">
        <v>797</v>
      </c>
      <c r="D4" s="25" t="s">
        <v>798</v>
      </c>
      <c r="E4" s="25" t="s">
        <v>54</v>
      </c>
      <c r="F4" s="25" t="s">
        <v>799</v>
      </c>
      <c r="G4" s="25" t="s">
        <v>796</v>
      </c>
    </row>
    <row r="5" spans="1:7" ht="30" customHeight="1" x14ac:dyDescent="0.3">
      <c r="A5" s="25">
        <v>3</v>
      </c>
      <c r="B5" s="25" t="s">
        <v>423</v>
      </c>
      <c r="C5" s="25" t="s">
        <v>800</v>
      </c>
      <c r="D5" s="25" t="s">
        <v>794</v>
      </c>
      <c r="E5" s="25" t="s">
        <v>54</v>
      </c>
      <c r="F5" s="25" t="s">
        <v>801</v>
      </c>
      <c r="G5" s="25" t="s">
        <v>802</v>
      </c>
    </row>
    <row r="6" spans="1:7" ht="30" customHeight="1" x14ac:dyDescent="0.3">
      <c r="A6" s="25">
        <v>4</v>
      </c>
      <c r="B6" s="25" t="s">
        <v>423</v>
      </c>
      <c r="C6" s="25" t="s">
        <v>803</v>
      </c>
      <c r="D6" s="25" t="s">
        <v>794</v>
      </c>
      <c r="E6" s="25" t="s">
        <v>54</v>
      </c>
      <c r="F6" s="25" t="s">
        <v>804</v>
      </c>
      <c r="G6" s="25" t="s">
        <v>802</v>
      </c>
    </row>
    <row r="7" spans="1:7" ht="30" customHeight="1" x14ac:dyDescent="0.3">
      <c r="A7" s="26">
        <v>5</v>
      </c>
      <c r="B7" s="26" t="s">
        <v>408</v>
      </c>
      <c r="C7" s="26" t="s">
        <v>805</v>
      </c>
      <c r="D7" s="26" t="s">
        <v>806</v>
      </c>
      <c r="E7" s="26" t="s">
        <v>54</v>
      </c>
      <c r="F7" s="26" t="s">
        <v>807</v>
      </c>
      <c r="G7" s="26" t="s">
        <v>802</v>
      </c>
    </row>
    <row r="8" spans="1:7" ht="30" customHeight="1" x14ac:dyDescent="0.3">
      <c r="A8" s="26">
        <v>6</v>
      </c>
      <c r="B8" s="26" t="s">
        <v>408</v>
      </c>
      <c r="C8" s="26" t="s">
        <v>808</v>
      </c>
      <c r="D8" s="26" t="s">
        <v>806</v>
      </c>
      <c r="E8" s="26" t="s">
        <v>54</v>
      </c>
      <c r="F8" s="26" t="s">
        <v>809</v>
      </c>
      <c r="G8" s="26" t="s">
        <v>802</v>
      </c>
    </row>
    <row r="9" spans="1:7" ht="30" customHeight="1" x14ac:dyDescent="0.3">
      <c r="A9" s="26">
        <v>7</v>
      </c>
      <c r="B9" s="26" t="s">
        <v>408</v>
      </c>
      <c r="C9" s="26" t="s">
        <v>810</v>
      </c>
      <c r="D9" s="26" t="s">
        <v>806</v>
      </c>
      <c r="E9" s="26" t="s">
        <v>54</v>
      </c>
      <c r="F9" s="26" t="s">
        <v>811</v>
      </c>
      <c r="G9" s="26" t="s">
        <v>802</v>
      </c>
    </row>
    <row r="10" spans="1:7" ht="30" customHeight="1" x14ac:dyDescent="0.3">
      <c r="A10" s="26">
        <v>8</v>
      </c>
      <c r="B10" s="26" t="s">
        <v>408</v>
      </c>
      <c r="C10" s="26" t="s">
        <v>812</v>
      </c>
      <c r="D10" s="26" t="s">
        <v>409</v>
      </c>
      <c r="E10" s="26" t="s">
        <v>54</v>
      </c>
      <c r="F10" s="26" t="s">
        <v>813</v>
      </c>
      <c r="G10" s="26" t="s">
        <v>802</v>
      </c>
    </row>
    <row r="11" spans="1:7" ht="30" customHeight="1" x14ac:dyDescent="0.3">
      <c r="A11" s="26">
        <v>9</v>
      </c>
      <c r="B11" s="26" t="s">
        <v>408</v>
      </c>
      <c r="C11" s="26" t="s">
        <v>814</v>
      </c>
      <c r="D11" s="26" t="s">
        <v>806</v>
      </c>
      <c r="E11" s="26" t="s">
        <v>54</v>
      </c>
      <c r="F11" s="26" t="s">
        <v>815</v>
      </c>
      <c r="G11" s="26" t="s">
        <v>802</v>
      </c>
    </row>
    <row r="12" spans="1:7" ht="30" customHeight="1" x14ac:dyDescent="0.3">
      <c r="A12" s="28">
        <v>10</v>
      </c>
      <c r="B12" s="28" t="s">
        <v>166</v>
      </c>
      <c r="C12" s="28" t="s">
        <v>816</v>
      </c>
      <c r="D12" s="28" t="s">
        <v>798</v>
      </c>
      <c r="E12" s="28" t="s">
        <v>54</v>
      </c>
      <c r="F12" s="28" t="s">
        <v>817</v>
      </c>
      <c r="G12" s="28" t="s">
        <v>818</v>
      </c>
    </row>
    <row r="13" spans="1:7" ht="30" customHeight="1" x14ac:dyDescent="0.3">
      <c r="A13" s="28">
        <v>11</v>
      </c>
      <c r="B13" s="28" t="s">
        <v>166</v>
      </c>
      <c r="C13" s="28" t="s">
        <v>819</v>
      </c>
      <c r="D13" s="28" t="s">
        <v>798</v>
      </c>
      <c r="E13" s="28" t="s">
        <v>54</v>
      </c>
      <c r="F13" s="28" t="s">
        <v>820</v>
      </c>
      <c r="G13" s="28" t="s">
        <v>818</v>
      </c>
    </row>
    <row r="14" spans="1:7" ht="30" customHeight="1" x14ac:dyDescent="0.3">
      <c r="A14" s="28">
        <v>12</v>
      </c>
      <c r="B14" s="28" t="s">
        <v>166</v>
      </c>
      <c r="C14" s="28" t="s">
        <v>821</v>
      </c>
      <c r="D14" s="28" t="s">
        <v>806</v>
      </c>
      <c r="E14" s="28" t="s">
        <v>54</v>
      </c>
      <c r="F14" s="28" t="s">
        <v>822</v>
      </c>
      <c r="G14" s="28" t="s">
        <v>818</v>
      </c>
    </row>
    <row r="15" spans="1:7" ht="30" customHeight="1" x14ac:dyDescent="0.3">
      <c r="A15" s="28">
        <v>13</v>
      </c>
      <c r="B15" s="28" t="s">
        <v>166</v>
      </c>
      <c r="C15" s="28" t="s">
        <v>823</v>
      </c>
      <c r="D15" s="28" t="s">
        <v>806</v>
      </c>
      <c r="E15" s="28" t="s">
        <v>54</v>
      </c>
      <c r="F15" s="28" t="s">
        <v>824</v>
      </c>
      <c r="G15" s="28" t="s">
        <v>818</v>
      </c>
    </row>
    <row r="16" spans="1:7" ht="30" customHeight="1" x14ac:dyDescent="0.3">
      <c r="A16" s="28">
        <v>14</v>
      </c>
      <c r="B16" s="28" t="s">
        <v>166</v>
      </c>
      <c r="C16" s="28" t="s">
        <v>825</v>
      </c>
      <c r="D16" s="28" t="s">
        <v>806</v>
      </c>
      <c r="E16" s="28" t="s">
        <v>54</v>
      </c>
      <c r="F16" s="28" t="s">
        <v>826</v>
      </c>
      <c r="G16" s="28" t="s">
        <v>818</v>
      </c>
    </row>
    <row r="17" spans="1:7" ht="30" customHeight="1" x14ac:dyDescent="0.3">
      <c r="A17" s="28">
        <v>15</v>
      </c>
      <c r="B17" s="28" t="s">
        <v>166</v>
      </c>
      <c r="C17" s="28" t="s">
        <v>827</v>
      </c>
      <c r="D17" s="28" t="s">
        <v>806</v>
      </c>
      <c r="E17" s="28" t="s">
        <v>54</v>
      </c>
      <c r="F17" s="28" t="s">
        <v>828</v>
      </c>
      <c r="G17" s="28" t="s">
        <v>818</v>
      </c>
    </row>
    <row r="18" spans="1:7" ht="30" customHeight="1" x14ac:dyDescent="0.3">
      <c r="A18" s="28">
        <v>16</v>
      </c>
      <c r="B18" s="28" t="s">
        <v>166</v>
      </c>
      <c r="C18" s="28" t="s">
        <v>829</v>
      </c>
      <c r="D18" s="28" t="s">
        <v>806</v>
      </c>
      <c r="E18" s="28" t="s">
        <v>54</v>
      </c>
      <c r="F18" s="28" t="s">
        <v>830</v>
      </c>
      <c r="G18" s="28" t="s">
        <v>818</v>
      </c>
    </row>
    <row r="19" spans="1:7" ht="30" customHeight="1" x14ac:dyDescent="0.3">
      <c r="A19" s="27">
        <v>17</v>
      </c>
      <c r="B19" s="27" t="s">
        <v>384</v>
      </c>
      <c r="C19" s="27" t="s">
        <v>831</v>
      </c>
      <c r="D19" s="27" t="s">
        <v>483</v>
      </c>
      <c r="E19" s="27" t="s">
        <v>54</v>
      </c>
      <c r="F19" s="27" t="s">
        <v>832</v>
      </c>
      <c r="G19" s="27" t="s">
        <v>833</v>
      </c>
    </row>
    <row r="20" spans="1:7" ht="30" customHeight="1" x14ac:dyDescent="0.3">
      <c r="A20" s="27">
        <v>18</v>
      </c>
      <c r="B20" s="27" t="s">
        <v>384</v>
      </c>
      <c r="C20" s="27" t="s">
        <v>834</v>
      </c>
      <c r="D20" s="27" t="s">
        <v>483</v>
      </c>
      <c r="E20" s="27" t="s">
        <v>54</v>
      </c>
      <c r="F20" s="27" t="s">
        <v>835</v>
      </c>
      <c r="G20" s="27" t="s">
        <v>833</v>
      </c>
    </row>
    <row r="21" spans="1:7" ht="30" customHeight="1" x14ac:dyDescent="0.3">
      <c r="A21" s="27">
        <v>19</v>
      </c>
      <c r="B21" s="27" t="s">
        <v>384</v>
      </c>
      <c r="C21" s="27" t="s">
        <v>836</v>
      </c>
      <c r="D21" s="27" t="s">
        <v>483</v>
      </c>
      <c r="E21" s="27" t="s">
        <v>54</v>
      </c>
      <c r="F21" s="27" t="s">
        <v>837</v>
      </c>
      <c r="G21" s="27" t="s">
        <v>833</v>
      </c>
    </row>
    <row r="22" spans="1:7" ht="30" customHeight="1" x14ac:dyDescent="0.3">
      <c r="A22" s="27">
        <v>20</v>
      </c>
      <c r="B22" s="27" t="s">
        <v>384</v>
      </c>
      <c r="C22" s="27" t="s">
        <v>838</v>
      </c>
      <c r="D22" s="27" t="s">
        <v>483</v>
      </c>
      <c r="E22" s="27" t="s">
        <v>54</v>
      </c>
      <c r="F22" s="27" t="s">
        <v>839</v>
      </c>
      <c r="G22" s="27" t="s">
        <v>833</v>
      </c>
    </row>
    <row r="23" spans="1:7" ht="30" customHeight="1" x14ac:dyDescent="0.3">
      <c r="A23" s="27">
        <v>21</v>
      </c>
      <c r="B23" s="27" t="s">
        <v>384</v>
      </c>
      <c r="C23" s="27" t="s">
        <v>840</v>
      </c>
      <c r="D23" s="27" t="s">
        <v>841</v>
      </c>
      <c r="E23" s="27" t="s">
        <v>54</v>
      </c>
      <c r="F23" s="27" t="s">
        <v>842</v>
      </c>
      <c r="G23" s="27" t="s">
        <v>833</v>
      </c>
    </row>
    <row r="24" spans="1:7" ht="30" customHeight="1" x14ac:dyDescent="0.3">
      <c r="A24" s="29">
        <v>22</v>
      </c>
      <c r="B24" s="29" t="s">
        <v>843</v>
      </c>
      <c r="C24" s="29" t="s">
        <v>844</v>
      </c>
      <c r="D24" s="29" t="s">
        <v>245</v>
      </c>
      <c r="E24" s="29" t="s">
        <v>54</v>
      </c>
      <c r="F24" s="29" t="s">
        <v>845</v>
      </c>
      <c r="G24" s="29" t="s">
        <v>846</v>
      </c>
    </row>
    <row r="25" spans="1:7" ht="30" customHeight="1" x14ac:dyDescent="0.3">
      <c r="A25" s="29">
        <v>23</v>
      </c>
      <c r="B25" s="29" t="s">
        <v>843</v>
      </c>
      <c r="C25" s="29" t="s">
        <v>847</v>
      </c>
      <c r="D25" s="29" t="s">
        <v>794</v>
      </c>
      <c r="E25" s="29" t="s">
        <v>54</v>
      </c>
      <c r="F25" s="29" t="s">
        <v>848</v>
      </c>
      <c r="G25" s="29" t="s">
        <v>846</v>
      </c>
    </row>
    <row r="26" spans="1:7" ht="30" customHeight="1" x14ac:dyDescent="0.3">
      <c r="A26" s="29">
        <v>24</v>
      </c>
      <c r="B26" s="29" t="s">
        <v>843</v>
      </c>
      <c r="C26" s="29" t="s">
        <v>849</v>
      </c>
      <c r="D26" s="29" t="s">
        <v>850</v>
      </c>
      <c r="E26" s="29" t="s">
        <v>54</v>
      </c>
      <c r="F26" s="29" t="s">
        <v>851</v>
      </c>
      <c r="G26" s="29" t="s">
        <v>846</v>
      </c>
    </row>
    <row r="27" spans="1:7" ht="30" customHeight="1" x14ac:dyDescent="0.3">
      <c r="A27" s="29">
        <v>25</v>
      </c>
      <c r="B27" s="29" t="s">
        <v>843</v>
      </c>
      <c r="C27" s="29" t="s">
        <v>852</v>
      </c>
      <c r="D27" s="29" t="s">
        <v>850</v>
      </c>
      <c r="E27" s="29" t="s">
        <v>54</v>
      </c>
      <c r="F27" s="29" t="s">
        <v>853</v>
      </c>
      <c r="G27" s="29" t="s">
        <v>846</v>
      </c>
    </row>
    <row r="28" spans="1:7" ht="30" customHeight="1" x14ac:dyDescent="0.3">
      <c r="A28" s="29">
        <v>26</v>
      </c>
      <c r="B28" s="29" t="s">
        <v>843</v>
      </c>
      <c r="C28" s="29" t="s">
        <v>854</v>
      </c>
      <c r="D28" s="29" t="s">
        <v>855</v>
      </c>
      <c r="E28" s="29" t="s">
        <v>54</v>
      </c>
      <c r="F28" s="29" t="s">
        <v>856</v>
      </c>
      <c r="G28" s="29" t="s">
        <v>857</v>
      </c>
    </row>
    <row r="29" spans="1:7" ht="30" customHeight="1" x14ac:dyDescent="0.3">
      <c r="A29" s="29">
        <v>27</v>
      </c>
      <c r="B29" s="29" t="s">
        <v>843</v>
      </c>
      <c r="C29" s="29" t="s">
        <v>858</v>
      </c>
      <c r="D29" s="29" t="s">
        <v>859</v>
      </c>
      <c r="E29" s="29" t="s">
        <v>54</v>
      </c>
      <c r="F29" s="29" t="s">
        <v>860</v>
      </c>
      <c r="G29" s="29" t="s">
        <v>861</v>
      </c>
    </row>
  </sheetData>
  <autoFilter ref="A2:G29" xr:uid="{00000000-0009-0000-0000-000008000000}"/>
  <mergeCells count="1">
    <mergeCell ref="A1:G1"/>
  </mergeCells>
  <dataValidations count="1">
    <dataValidation type="list" sqref="E3:E100" xr:uid="{00000000-0002-0000-0800-000000000000}">
      <formula1>"Done,In Progress,To Do,Blocked"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showGridLines="0" zoomScaleNormal="100" workbookViewId="0">
      <pane ySplit="2" topLeftCell="A3" activePane="bottomLeft" state="frozen"/>
      <selection pane="bottomLeft" activeCell="I3" sqref="I3"/>
    </sheetView>
  </sheetViews>
  <sheetFormatPr defaultColWidth="8.6640625" defaultRowHeight="14.4" x14ac:dyDescent="0.3"/>
  <cols>
    <col min="1" max="1" width="8.44140625" bestFit="1" customWidth="1"/>
    <col min="2" max="2" width="10" customWidth="1"/>
    <col min="3" max="4" width="11" customWidth="1"/>
    <col min="5" max="5" width="13" customWidth="1"/>
    <col min="6" max="6" width="11" customWidth="1"/>
    <col min="7" max="7" width="30" customWidth="1"/>
    <col min="8" max="8" width="24" customWidth="1"/>
    <col min="9" max="9" width="22" customWidth="1"/>
  </cols>
  <sheetData>
    <row r="1" spans="1:9" ht="36" customHeight="1" x14ac:dyDescent="0.3">
      <c r="A1" s="54" t="s">
        <v>862</v>
      </c>
      <c r="B1" s="54"/>
      <c r="C1" s="54"/>
      <c r="D1" s="54"/>
      <c r="E1" s="54"/>
      <c r="F1" s="54"/>
      <c r="G1" s="54"/>
      <c r="H1" s="54"/>
      <c r="I1" s="54"/>
    </row>
    <row r="2" spans="1:9" ht="31.5" customHeight="1" x14ac:dyDescent="0.3">
      <c r="A2" s="24" t="s">
        <v>27</v>
      </c>
      <c r="B2" s="24" t="s">
        <v>28</v>
      </c>
      <c r="C2" s="24" t="s">
        <v>249</v>
      </c>
      <c r="D2" s="24" t="s">
        <v>250</v>
      </c>
      <c r="E2" s="42" t="s">
        <v>863</v>
      </c>
      <c r="F2" s="24" t="s">
        <v>251</v>
      </c>
      <c r="G2" s="24" t="s">
        <v>864</v>
      </c>
      <c r="H2" s="24" t="s">
        <v>865</v>
      </c>
      <c r="I2" s="24" t="s">
        <v>43</v>
      </c>
    </row>
    <row r="3" spans="1:9" ht="25.5" customHeight="1" x14ac:dyDescent="0.3">
      <c r="A3" s="43">
        <v>1</v>
      </c>
      <c r="B3" s="43" t="s">
        <v>796</v>
      </c>
      <c r="C3" s="44">
        <v>1</v>
      </c>
      <c r="D3" s="44">
        <v>3</v>
      </c>
      <c r="E3" s="44">
        <v>0.5</v>
      </c>
      <c r="F3" s="45">
        <f t="shared" ref="F3:F32" si="0">IFERROR(C3+D3+E3,0)</f>
        <v>4.5</v>
      </c>
      <c r="G3" s="13"/>
      <c r="H3" s="13"/>
      <c r="I3" s="13"/>
    </row>
    <row r="4" spans="1:9" ht="25.5" customHeight="1" x14ac:dyDescent="0.3">
      <c r="A4" s="46">
        <v>2</v>
      </c>
      <c r="B4" s="46" t="s">
        <v>866</v>
      </c>
      <c r="C4" s="47"/>
      <c r="D4" s="47"/>
      <c r="E4" s="47"/>
      <c r="F4" s="48">
        <f t="shared" si="0"/>
        <v>0</v>
      </c>
      <c r="G4" s="16"/>
      <c r="H4" s="16"/>
      <c r="I4" s="16"/>
    </row>
    <row r="5" spans="1:9" ht="25.5" customHeight="1" x14ac:dyDescent="0.3">
      <c r="A5" s="43">
        <v>3</v>
      </c>
      <c r="B5" s="43" t="s">
        <v>867</v>
      </c>
      <c r="C5" s="44"/>
      <c r="D5" s="44"/>
      <c r="E5" s="44"/>
      <c r="F5" s="45">
        <f t="shared" si="0"/>
        <v>0</v>
      </c>
      <c r="G5" s="13"/>
      <c r="H5" s="13"/>
      <c r="I5" s="13"/>
    </row>
    <row r="6" spans="1:9" ht="25.5" customHeight="1" x14ac:dyDescent="0.3">
      <c r="A6" s="46">
        <v>4</v>
      </c>
      <c r="B6" s="46" t="s">
        <v>868</v>
      </c>
      <c r="C6" s="47"/>
      <c r="D6" s="47"/>
      <c r="E6" s="47"/>
      <c r="F6" s="48">
        <f t="shared" si="0"/>
        <v>0</v>
      </c>
      <c r="G6" s="16"/>
      <c r="H6" s="16"/>
      <c r="I6" s="16"/>
    </row>
    <row r="7" spans="1:9" ht="25.5" customHeight="1" x14ac:dyDescent="0.3">
      <c r="A7" s="43">
        <v>5</v>
      </c>
      <c r="B7" s="43" t="s">
        <v>869</v>
      </c>
      <c r="C7" s="44"/>
      <c r="D7" s="44"/>
      <c r="E7" s="44"/>
      <c r="F7" s="45">
        <f t="shared" si="0"/>
        <v>0</v>
      </c>
      <c r="G7" s="13"/>
      <c r="H7" s="13"/>
      <c r="I7" s="13"/>
    </row>
    <row r="8" spans="1:9" ht="25.5" customHeight="1" x14ac:dyDescent="0.3">
      <c r="A8" s="46">
        <v>6</v>
      </c>
      <c r="B8" s="46" t="s">
        <v>870</v>
      </c>
      <c r="C8" s="47"/>
      <c r="D8" s="47"/>
      <c r="E8" s="47"/>
      <c r="F8" s="48">
        <f t="shared" si="0"/>
        <v>0</v>
      </c>
      <c r="G8" s="16"/>
      <c r="H8" s="16"/>
      <c r="I8" s="16"/>
    </row>
    <row r="9" spans="1:9" ht="25.5" customHeight="1" x14ac:dyDescent="0.3">
      <c r="A9" s="43">
        <v>7</v>
      </c>
      <c r="B9" s="43" t="s">
        <v>871</v>
      </c>
      <c r="C9" s="44"/>
      <c r="D9" s="44"/>
      <c r="E9" s="44"/>
      <c r="F9" s="45">
        <f t="shared" si="0"/>
        <v>0</v>
      </c>
      <c r="G9" s="13"/>
      <c r="H9" s="13"/>
      <c r="I9" s="13"/>
    </row>
    <row r="10" spans="1:9" ht="25.5" customHeight="1" x14ac:dyDescent="0.3">
      <c r="A10" s="46">
        <v>8</v>
      </c>
      <c r="B10" s="46" t="s">
        <v>872</v>
      </c>
      <c r="C10" s="47"/>
      <c r="D10" s="47"/>
      <c r="E10" s="47"/>
      <c r="F10" s="48">
        <f t="shared" si="0"/>
        <v>0</v>
      </c>
      <c r="G10" s="16"/>
      <c r="H10" s="16"/>
      <c r="I10" s="16"/>
    </row>
    <row r="11" spans="1:9" ht="25.5" customHeight="1" x14ac:dyDescent="0.3">
      <c r="A11" s="43">
        <v>9</v>
      </c>
      <c r="B11" s="43" t="s">
        <v>873</v>
      </c>
      <c r="C11" s="44"/>
      <c r="D11" s="44"/>
      <c r="E11" s="44"/>
      <c r="F11" s="45">
        <f t="shared" si="0"/>
        <v>0</v>
      </c>
      <c r="G11" s="13"/>
      <c r="H11" s="13"/>
      <c r="I11" s="13"/>
    </row>
    <row r="12" spans="1:9" ht="25.5" customHeight="1" x14ac:dyDescent="0.3">
      <c r="A12" s="46">
        <v>10</v>
      </c>
      <c r="B12" s="46" t="s">
        <v>874</v>
      </c>
      <c r="C12" s="47"/>
      <c r="D12" s="47"/>
      <c r="E12" s="47"/>
      <c r="F12" s="48">
        <f t="shared" si="0"/>
        <v>0</v>
      </c>
      <c r="G12" s="16"/>
      <c r="H12" s="16"/>
      <c r="I12" s="16"/>
    </row>
    <row r="13" spans="1:9" ht="25.5" customHeight="1" x14ac:dyDescent="0.3">
      <c r="A13" s="43">
        <v>11</v>
      </c>
      <c r="B13" s="43" t="s">
        <v>875</v>
      </c>
      <c r="C13" s="44"/>
      <c r="D13" s="44"/>
      <c r="E13" s="44"/>
      <c r="F13" s="45">
        <f t="shared" si="0"/>
        <v>0</v>
      </c>
      <c r="G13" s="13"/>
      <c r="H13" s="13"/>
      <c r="I13" s="13"/>
    </row>
    <row r="14" spans="1:9" ht="25.5" customHeight="1" x14ac:dyDescent="0.3">
      <c r="A14" s="46">
        <v>12</v>
      </c>
      <c r="B14" s="46" t="s">
        <v>876</v>
      </c>
      <c r="C14" s="47"/>
      <c r="D14" s="47"/>
      <c r="E14" s="47"/>
      <c r="F14" s="48">
        <f t="shared" si="0"/>
        <v>0</v>
      </c>
      <c r="G14" s="16"/>
      <c r="H14" s="16"/>
      <c r="I14" s="16"/>
    </row>
    <row r="15" spans="1:9" ht="25.5" customHeight="1" x14ac:dyDescent="0.3">
      <c r="A15" s="43">
        <v>13</v>
      </c>
      <c r="B15" s="43" t="s">
        <v>877</v>
      </c>
      <c r="C15" s="44"/>
      <c r="D15" s="44"/>
      <c r="E15" s="44"/>
      <c r="F15" s="45">
        <f t="shared" si="0"/>
        <v>0</v>
      </c>
      <c r="G15" s="13"/>
      <c r="H15" s="13"/>
      <c r="I15" s="13"/>
    </row>
    <row r="16" spans="1:9" ht="25.5" customHeight="1" x14ac:dyDescent="0.3">
      <c r="A16" s="46">
        <v>14</v>
      </c>
      <c r="B16" s="46" t="s">
        <v>878</v>
      </c>
      <c r="C16" s="47"/>
      <c r="D16" s="47"/>
      <c r="E16" s="47"/>
      <c r="F16" s="48">
        <f t="shared" si="0"/>
        <v>0</v>
      </c>
      <c r="G16" s="16"/>
      <c r="H16" s="16"/>
      <c r="I16" s="16"/>
    </row>
    <row r="17" spans="1:9" ht="25.5" customHeight="1" x14ac:dyDescent="0.3">
      <c r="A17" s="43">
        <v>15</v>
      </c>
      <c r="B17" s="43" t="s">
        <v>879</v>
      </c>
      <c r="C17" s="44"/>
      <c r="D17" s="44"/>
      <c r="E17" s="44"/>
      <c r="F17" s="45">
        <f t="shared" si="0"/>
        <v>0</v>
      </c>
      <c r="G17" s="13"/>
      <c r="H17" s="13"/>
      <c r="I17" s="13"/>
    </row>
    <row r="18" spans="1:9" ht="25.5" customHeight="1" x14ac:dyDescent="0.3">
      <c r="A18" s="46">
        <v>16</v>
      </c>
      <c r="B18" s="46" t="s">
        <v>880</v>
      </c>
      <c r="C18" s="47"/>
      <c r="D18" s="47"/>
      <c r="E18" s="47"/>
      <c r="F18" s="48">
        <f t="shared" si="0"/>
        <v>0</v>
      </c>
      <c r="G18" s="16"/>
      <c r="H18" s="16"/>
      <c r="I18" s="16"/>
    </row>
    <row r="19" spans="1:9" ht="25.5" customHeight="1" x14ac:dyDescent="0.3">
      <c r="A19" s="43">
        <v>17</v>
      </c>
      <c r="B19" s="43" t="s">
        <v>881</v>
      </c>
      <c r="C19" s="44"/>
      <c r="D19" s="44"/>
      <c r="E19" s="44"/>
      <c r="F19" s="45">
        <f t="shared" si="0"/>
        <v>0</v>
      </c>
      <c r="G19" s="13"/>
      <c r="H19" s="13"/>
      <c r="I19" s="13"/>
    </row>
    <row r="20" spans="1:9" ht="25.5" customHeight="1" x14ac:dyDescent="0.3">
      <c r="A20" s="46">
        <v>18</v>
      </c>
      <c r="B20" s="46" t="s">
        <v>882</v>
      </c>
      <c r="C20" s="47"/>
      <c r="D20" s="47"/>
      <c r="E20" s="47"/>
      <c r="F20" s="48">
        <f t="shared" si="0"/>
        <v>0</v>
      </c>
      <c r="G20" s="16"/>
      <c r="H20" s="16"/>
      <c r="I20" s="16"/>
    </row>
    <row r="21" spans="1:9" ht="25.5" customHeight="1" x14ac:dyDescent="0.3">
      <c r="A21" s="43">
        <v>19</v>
      </c>
      <c r="B21" s="43" t="s">
        <v>883</v>
      </c>
      <c r="C21" s="44"/>
      <c r="D21" s="44"/>
      <c r="E21" s="44"/>
      <c r="F21" s="45">
        <f t="shared" si="0"/>
        <v>0</v>
      </c>
      <c r="G21" s="13"/>
      <c r="H21" s="13"/>
      <c r="I21" s="13"/>
    </row>
    <row r="22" spans="1:9" ht="25.5" customHeight="1" x14ac:dyDescent="0.3">
      <c r="A22" s="46">
        <v>20</v>
      </c>
      <c r="B22" s="46" t="s">
        <v>884</v>
      </c>
      <c r="C22" s="47"/>
      <c r="D22" s="47"/>
      <c r="E22" s="47"/>
      <c r="F22" s="48">
        <f t="shared" si="0"/>
        <v>0</v>
      </c>
      <c r="G22" s="16"/>
      <c r="H22" s="16"/>
      <c r="I22" s="16"/>
    </row>
    <row r="23" spans="1:9" ht="25.5" customHeight="1" x14ac:dyDescent="0.3">
      <c r="A23" s="43">
        <v>21</v>
      </c>
      <c r="B23" s="43" t="s">
        <v>885</v>
      </c>
      <c r="C23" s="44"/>
      <c r="D23" s="44"/>
      <c r="E23" s="44"/>
      <c r="F23" s="45">
        <f t="shared" si="0"/>
        <v>0</v>
      </c>
      <c r="G23" s="13"/>
      <c r="H23" s="13"/>
      <c r="I23" s="13"/>
    </row>
    <row r="24" spans="1:9" ht="25.5" customHeight="1" x14ac:dyDescent="0.3">
      <c r="A24" s="46">
        <v>22</v>
      </c>
      <c r="B24" s="46" t="s">
        <v>886</v>
      </c>
      <c r="C24" s="47"/>
      <c r="D24" s="47"/>
      <c r="E24" s="47"/>
      <c r="F24" s="48">
        <f t="shared" si="0"/>
        <v>0</v>
      </c>
      <c r="G24" s="16"/>
      <c r="H24" s="16"/>
      <c r="I24" s="16"/>
    </row>
    <row r="25" spans="1:9" ht="25.5" customHeight="1" x14ac:dyDescent="0.3">
      <c r="A25" s="43">
        <v>23</v>
      </c>
      <c r="B25" s="43" t="s">
        <v>887</v>
      </c>
      <c r="C25" s="44"/>
      <c r="D25" s="44"/>
      <c r="E25" s="44"/>
      <c r="F25" s="45">
        <f t="shared" si="0"/>
        <v>0</v>
      </c>
      <c r="G25" s="13"/>
      <c r="H25" s="13"/>
      <c r="I25" s="13"/>
    </row>
    <row r="26" spans="1:9" ht="25.5" customHeight="1" x14ac:dyDescent="0.3">
      <c r="A26" s="46">
        <v>24</v>
      </c>
      <c r="B26" s="46" t="s">
        <v>888</v>
      </c>
      <c r="C26" s="47"/>
      <c r="D26" s="47"/>
      <c r="E26" s="47"/>
      <c r="F26" s="48">
        <f t="shared" si="0"/>
        <v>0</v>
      </c>
      <c r="G26" s="16"/>
      <c r="H26" s="16"/>
      <c r="I26" s="16"/>
    </row>
    <row r="27" spans="1:9" ht="25.5" customHeight="1" x14ac:dyDescent="0.3">
      <c r="A27" s="43">
        <v>25</v>
      </c>
      <c r="B27" s="43" t="s">
        <v>802</v>
      </c>
      <c r="C27" s="44"/>
      <c r="D27" s="44"/>
      <c r="E27" s="44"/>
      <c r="F27" s="45">
        <f t="shared" si="0"/>
        <v>0</v>
      </c>
      <c r="G27" s="13"/>
      <c r="H27" s="13"/>
      <c r="I27" s="13"/>
    </row>
    <row r="28" spans="1:9" ht="25.5" customHeight="1" x14ac:dyDescent="0.3">
      <c r="A28" s="46">
        <v>26</v>
      </c>
      <c r="B28" s="46" t="s">
        <v>818</v>
      </c>
      <c r="C28" s="47"/>
      <c r="D28" s="47"/>
      <c r="E28" s="47"/>
      <c r="F28" s="48">
        <f t="shared" si="0"/>
        <v>0</v>
      </c>
      <c r="G28" s="16"/>
      <c r="H28" s="16"/>
      <c r="I28" s="16"/>
    </row>
    <row r="29" spans="1:9" ht="25.5" customHeight="1" x14ac:dyDescent="0.3">
      <c r="A29" s="43">
        <v>27</v>
      </c>
      <c r="B29" s="43" t="s">
        <v>833</v>
      </c>
      <c r="C29" s="44"/>
      <c r="D29" s="44"/>
      <c r="E29" s="44"/>
      <c r="F29" s="45">
        <f t="shared" si="0"/>
        <v>0</v>
      </c>
      <c r="G29" s="13"/>
      <c r="H29" s="13"/>
      <c r="I29" s="13"/>
    </row>
    <row r="30" spans="1:9" ht="25.5" customHeight="1" x14ac:dyDescent="0.3">
      <c r="A30" s="46">
        <v>28</v>
      </c>
      <c r="B30" s="46" t="s">
        <v>846</v>
      </c>
      <c r="C30" s="47"/>
      <c r="D30" s="47"/>
      <c r="E30" s="47"/>
      <c r="F30" s="48">
        <f t="shared" si="0"/>
        <v>0</v>
      </c>
      <c r="G30" s="16"/>
      <c r="H30" s="16"/>
      <c r="I30" s="16"/>
    </row>
    <row r="31" spans="1:9" ht="25.5" customHeight="1" x14ac:dyDescent="0.3">
      <c r="A31" s="43">
        <v>29</v>
      </c>
      <c r="B31" s="43" t="s">
        <v>857</v>
      </c>
      <c r="C31" s="44"/>
      <c r="D31" s="44"/>
      <c r="E31" s="44"/>
      <c r="F31" s="45">
        <f t="shared" si="0"/>
        <v>0</v>
      </c>
      <c r="G31" s="13"/>
      <c r="H31" s="13"/>
      <c r="I31" s="13"/>
    </row>
    <row r="32" spans="1:9" ht="25.5" customHeight="1" x14ac:dyDescent="0.3">
      <c r="A32" s="46">
        <v>30</v>
      </c>
      <c r="B32" s="46" t="s">
        <v>861</v>
      </c>
      <c r="C32" s="47"/>
      <c r="D32" s="47"/>
      <c r="E32" s="47"/>
      <c r="F32" s="48">
        <f t="shared" si="0"/>
        <v>0</v>
      </c>
      <c r="G32" s="16"/>
      <c r="H32" s="16"/>
      <c r="I32" s="16"/>
    </row>
    <row r="33" spans="1:9" x14ac:dyDescent="0.3">
      <c r="A33" s="18" t="s">
        <v>246</v>
      </c>
      <c r="B33" s="18" t="s">
        <v>889</v>
      </c>
      <c r="C33" s="18">
        <f>SUM(C3:C32)</f>
        <v>1</v>
      </c>
      <c r="D33" s="18">
        <f>SUM(D3:D32)</f>
        <v>3</v>
      </c>
      <c r="E33" s="18">
        <f>SUM(E3:E32)</f>
        <v>0.5</v>
      </c>
      <c r="F33" s="18">
        <f>SUM(F3:F32)</f>
        <v>4.5</v>
      </c>
      <c r="G33" s="18" t="s">
        <v>890</v>
      </c>
      <c r="H33" s="18"/>
      <c r="I33" s="18"/>
    </row>
    <row r="34" spans="1:9" x14ac:dyDescent="0.3">
      <c r="A34" s="49" t="s">
        <v>891</v>
      </c>
      <c r="B34" s="49"/>
      <c r="C34" s="49">
        <v>26</v>
      </c>
      <c r="D34" s="49">
        <v>111.5</v>
      </c>
      <c r="E34" s="49">
        <v>12</v>
      </c>
      <c r="F34" s="49">
        <v>149.5</v>
      </c>
      <c r="G34" s="49" t="s">
        <v>892</v>
      </c>
      <c r="H34" s="49"/>
      <c r="I34" s="49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640625" defaultRowHeight="14.4" x14ac:dyDescent="0.3"/>
  <cols>
    <col min="1" max="1" width="4" customWidth="1"/>
    <col min="2" max="2" width="14" customWidth="1"/>
    <col min="3" max="3" width="44" customWidth="1"/>
    <col min="4" max="4" width="13" customWidth="1"/>
    <col min="5" max="5" width="8" customWidth="1"/>
    <col min="6" max="6" width="52" customWidth="1"/>
    <col min="7" max="7" width="14" customWidth="1"/>
  </cols>
  <sheetData>
    <row r="1" spans="1:7" ht="36" customHeight="1" x14ac:dyDescent="0.3">
      <c r="A1" s="54" t="s">
        <v>893</v>
      </c>
      <c r="B1" s="54"/>
      <c r="C1" s="54"/>
      <c r="D1" s="54"/>
      <c r="E1" s="54"/>
      <c r="F1" s="54"/>
      <c r="G1" s="54"/>
    </row>
    <row r="2" spans="1:7" ht="25.5" customHeight="1" x14ac:dyDescent="0.3">
      <c r="A2" s="24" t="s">
        <v>706</v>
      </c>
      <c r="B2" s="24" t="s">
        <v>894</v>
      </c>
      <c r="C2" s="24" t="s">
        <v>895</v>
      </c>
      <c r="D2" s="24" t="s">
        <v>896</v>
      </c>
      <c r="E2" s="24" t="s">
        <v>897</v>
      </c>
      <c r="F2" s="24" t="s">
        <v>898</v>
      </c>
      <c r="G2" s="24" t="s">
        <v>899</v>
      </c>
    </row>
    <row r="3" spans="1:7" ht="51.75" customHeight="1" x14ac:dyDescent="0.3">
      <c r="A3" s="13">
        <v>1</v>
      </c>
      <c r="B3" s="13" t="s">
        <v>900</v>
      </c>
      <c r="C3" s="13" t="s">
        <v>901</v>
      </c>
      <c r="D3" s="27" t="s">
        <v>53</v>
      </c>
      <c r="E3" s="27" t="s">
        <v>52</v>
      </c>
      <c r="F3" s="13" t="s">
        <v>902</v>
      </c>
      <c r="G3" s="13" t="s">
        <v>903</v>
      </c>
    </row>
    <row r="4" spans="1:7" ht="51.75" customHeight="1" x14ac:dyDescent="0.3">
      <c r="A4" s="13">
        <v>2</v>
      </c>
      <c r="B4" s="13" t="s">
        <v>900</v>
      </c>
      <c r="C4" s="13" t="s">
        <v>904</v>
      </c>
      <c r="D4" s="27" t="s">
        <v>53</v>
      </c>
      <c r="E4" s="27" t="s">
        <v>53</v>
      </c>
      <c r="F4" s="13" t="s">
        <v>905</v>
      </c>
      <c r="G4" s="13" t="s">
        <v>906</v>
      </c>
    </row>
    <row r="5" spans="1:7" ht="51.75" customHeight="1" x14ac:dyDescent="0.3">
      <c r="A5" s="13">
        <v>3</v>
      </c>
      <c r="B5" s="13" t="s">
        <v>900</v>
      </c>
      <c r="C5" s="13" t="s">
        <v>907</v>
      </c>
      <c r="D5" s="50" t="s">
        <v>52</v>
      </c>
      <c r="E5" s="50" t="s">
        <v>53</v>
      </c>
      <c r="F5" s="13" t="s">
        <v>908</v>
      </c>
      <c r="G5" s="13" t="s">
        <v>909</v>
      </c>
    </row>
    <row r="6" spans="1:7" ht="51.75" customHeight="1" x14ac:dyDescent="0.3">
      <c r="A6" s="13">
        <v>4</v>
      </c>
      <c r="B6" s="13" t="s">
        <v>408</v>
      </c>
      <c r="C6" s="13" t="s">
        <v>910</v>
      </c>
      <c r="D6" s="27" t="s">
        <v>53</v>
      </c>
      <c r="E6" s="27" t="s">
        <v>52</v>
      </c>
      <c r="F6" s="13" t="s">
        <v>911</v>
      </c>
      <c r="G6" s="13" t="s">
        <v>912</v>
      </c>
    </row>
    <row r="7" spans="1:7" ht="51.75" customHeight="1" x14ac:dyDescent="0.3">
      <c r="A7" s="13">
        <v>5</v>
      </c>
      <c r="B7" s="13" t="s">
        <v>408</v>
      </c>
      <c r="C7" s="13" t="s">
        <v>913</v>
      </c>
      <c r="D7" s="27" t="s">
        <v>53</v>
      </c>
      <c r="E7" s="27" t="s">
        <v>53</v>
      </c>
      <c r="F7" s="13" t="s">
        <v>914</v>
      </c>
      <c r="G7" s="13" t="s">
        <v>915</v>
      </c>
    </row>
    <row r="8" spans="1:7" ht="51.75" customHeight="1" x14ac:dyDescent="0.3">
      <c r="A8" s="13">
        <v>6</v>
      </c>
      <c r="B8" s="13" t="s">
        <v>408</v>
      </c>
      <c r="C8" s="13" t="s">
        <v>916</v>
      </c>
      <c r="D8" s="50" t="s">
        <v>52</v>
      </c>
      <c r="E8" s="50" t="s">
        <v>52</v>
      </c>
      <c r="F8" s="13" t="s">
        <v>917</v>
      </c>
      <c r="G8" s="13" t="s">
        <v>918</v>
      </c>
    </row>
    <row r="9" spans="1:7" ht="51.75" customHeight="1" x14ac:dyDescent="0.3">
      <c r="A9" s="13">
        <v>7</v>
      </c>
      <c r="B9" s="13" t="s">
        <v>384</v>
      </c>
      <c r="C9" s="13" t="s">
        <v>919</v>
      </c>
      <c r="D9" s="50" t="s">
        <v>52</v>
      </c>
      <c r="E9" s="50" t="s">
        <v>53</v>
      </c>
      <c r="F9" s="13" t="s">
        <v>920</v>
      </c>
      <c r="G9" s="13" t="s">
        <v>921</v>
      </c>
    </row>
    <row r="10" spans="1:7" ht="51.75" customHeight="1" x14ac:dyDescent="0.3">
      <c r="A10" s="13">
        <v>8</v>
      </c>
      <c r="B10" s="13" t="s">
        <v>384</v>
      </c>
      <c r="C10" s="13" t="s">
        <v>922</v>
      </c>
      <c r="D10" s="51" t="s">
        <v>61</v>
      </c>
      <c r="E10" s="51" t="s">
        <v>53</v>
      </c>
      <c r="F10" s="13" t="s">
        <v>923</v>
      </c>
      <c r="G10" s="13" t="s">
        <v>924</v>
      </c>
    </row>
    <row r="11" spans="1:7" ht="51.75" customHeight="1" x14ac:dyDescent="0.3">
      <c r="A11" s="13">
        <v>9</v>
      </c>
      <c r="B11" s="13" t="s">
        <v>209</v>
      </c>
      <c r="C11" s="13" t="s">
        <v>925</v>
      </c>
      <c r="D11" s="27" t="s">
        <v>53</v>
      </c>
      <c r="E11" s="27" t="s">
        <v>52</v>
      </c>
      <c r="F11" s="13" t="s">
        <v>926</v>
      </c>
      <c r="G11" s="13" t="s">
        <v>927</v>
      </c>
    </row>
    <row r="12" spans="1:7" ht="51.75" customHeight="1" x14ac:dyDescent="0.3">
      <c r="A12" s="13">
        <v>10</v>
      </c>
      <c r="B12" s="13" t="s">
        <v>209</v>
      </c>
      <c r="C12" s="13" t="s">
        <v>928</v>
      </c>
      <c r="D12" s="50" t="s">
        <v>52</v>
      </c>
      <c r="E12" s="50" t="s">
        <v>53</v>
      </c>
      <c r="F12" s="13" t="s">
        <v>929</v>
      </c>
      <c r="G12" s="13" t="s">
        <v>930</v>
      </c>
    </row>
    <row r="13" spans="1:7" ht="51.75" customHeight="1" x14ac:dyDescent="0.3">
      <c r="A13" s="13">
        <v>11</v>
      </c>
      <c r="B13" s="13" t="s">
        <v>209</v>
      </c>
      <c r="C13" s="13" t="s">
        <v>931</v>
      </c>
      <c r="D13" s="27" t="s">
        <v>53</v>
      </c>
      <c r="E13" s="27" t="s">
        <v>53</v>
      </c>
      <c r="F13" s="13" t="s">
        <v>932</v>
      </c>
      <c r="G13" s="13" t="s">
        <v>930</v>
      </c>
    </row>
    <row r="14" spans="1:7" ht="51.75" customHeight="1" x14ac:dyDescent="0.3">
      <c r="A14" s="13">
        <v>12</v>
      </c>
      <c r="B14" s="13" t="s">
        <v>933</v>
      </c>
      <c r="C14" s="13" t="s">
        <v>934</v>
      </c>
      <c r="D14" s="50" t="s">
        <v>52</v>
      </c>
      <c r="E14" s="50" t="s">
        <v>53</v>
      </c>
      <c r="F14" s="13" t="s">
        <v>935</v>
      </c>
      <c r="G14" s="13" t="s">
        <v>936</v>
      </c>
    </row>
    <row r="15" spans="1:7" ht="51.75" customHeight="1" x14ac:dyDescent="0.3">
      <c r="A15" s="13">
        <v>13</v>
      </c>
      <c r="B15" s="13" t="s">
        <v>933</v>
      </c>
      <c r="C15" s="13" t="s">
        <v>937</v>
      </c>
      <c r="D15" s="27" t="s">
        <v>53</v>
      </c>
      <c r="E15" s="27" t="s">
        <v>53</v>
      </c>
      <c r="F15" s="13" t="s">
        <v>938</v>
      </c>
      <c r="G15" s="13" t="s">
        <v>939</v>
      </c>
    </row>
    <row r="16" spans="1:7" ht="51.75" customHeight="1" x14ac:dyDescent="0.3">
      <c r="A16" s="13">
        <v>14</v>
      </c>
      <c r="B16" s="13" t="s">
        <v>933</v>
      </c>
      <c r="C16" s="13" t="s">
        <v>940</v>
      </c>
      <c r="D16" s="51" t="s">
        <v>61</v>
      </c>
      <c r="E16" s="51" t="s">
        <v>61</v>
      </c>
      <c r="F16" s="13" t="s">
        <v>941</v>
      </c>
      <c r="G16" s="13" t="s">
        <v>942</v>
      </c>
    </row>
    <row r="17" spans="1:7" ht="51.75" customHeight="1" x14ac:dyDescent="0.3">
      <c r="A17" s="13">
        <v>15</v>
      </c>
      <c r="B17" s="13" t="s">
        <v>943</v>
      </c>
      <c r="C17" s="13" t="s">
        <v>944</v>
      </c>
      <c r="D17" s="51" t="s">
        <v>61</v>
      </c>
      <c r="E17" s="51" t="s">
        <v>945</v>
      </c>
      <c r="F17" s="13" t="s">
        <v>946</v>
      </c>
      <c r="G17" s="13" t="s">
        <v>947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4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640625" defaultRowHeight="14.4" x14ac:dyDescent="0.3"/>
  <cols>
    <col min="1" max="1" width="4" customWidth="1"/>
    <col min="2" max="2" width="38" customWidth="1"/>
    <col min="3" max="3" width="15" customWidth="1"/>
    <col min="4" max="4" width="12" customWidth="1"/>
    <col min="5" max="5" width="14" customWidth="1"/>
    <col min="6" max="6" width="48" customWidth="1"/>
    <col min="7" max="7" width="18" customWidth="1"/>
  </cols>
  <sheetData>
    <row r="1" spans="1:7" ht="36" customHeight="1" x14ac:dyDescent="0.3">
      <c r="A1" s="54" t="s">
        <v>948</v>
      </c>
      <c r="B1" s="54"/>
      <c r="C1" s="54"/>
      <c r="D1" s="54"/>
      <c r="E1" s="54"/>
      <c r="F1" s="54"/>
      <c r="G1" s="54"/>
    </row>
    <row r="2" spans="1:7" ht="25.5" customHeight="1" x14ac:dyDescent="0.3">
      <c r="A2" s="24" t="s">
        <v>706</v>
      </c>
      <c r="B2" s="24" t="s">
        <v>949</v>
      </c>
      <c r="C2" s="24" t="s">
        <v>950</v>
      </c>
      <c r="D2" s="24" t="s">
        <v>951</v>
      </c>
      <c r="E2" s="24" t="s">
        <v>952</v>
      </c>
      <c r="F2" s="24" t="s">
        <v>953</v>
      </c>
      <c r="G2" s="24" t="s">
        <v>954</v>
      </c>
    </row>
    <row r="3" spans="1:7" ht="31.5" customHeight="1" x14ac:dyDescent="0.3">
      <c r="A3" s="28">
        <v>1</v>
      </c>
      <c r="B3" s="28" t="s">
        <v>955</v>
      </c>
      <c r="C3" s="28" t="s">
        <v>956</v>
      </c>
      <c r="D3" s="28" t="s">
        <v>52</v>
      </c>
      <c r="E3" s="28" t="s">
        <v>52</v>
      </c>
      <c r="F3" s="28" t="s">
        <v>957</v>
      </c>
      <c r="G3" s="28" t="s">
        <v>958</v>
      </c>
    </row>
    <row r="4" spans="1:7" ht="31.5" customHeight="1" x14ac:dyDescent="0.3">
      <c r="A4" s="28">
        <v>2</v>
      </c>
      <c r="B4" s="28" t="s">
        <v>959</v>
      </c>
      <c r="C4" s="28" t="s">
        <v>956</v>
      </c>
      <c r="D4" s="28" t="s">
        <v>52</v>
      </c>
      <c r="E4" s="28" t="s">
        <v>53</v>
      </c>
      <c r="F4" s="28" t="s">
        <v>960</v>
      </c>
      <c r="G4" s="28" t="s">
        <v>958</v>
      </c>
    </row>
    <row r="5" spans="1:7" ht="31.5" customHeight="1" x14ac:dyDescent="0.3">
      <c r="A5" s="28">
        <v>3</v>
      </c>
      <c r="B5" s="28" t="s">
        <v>961</v>
      </c>
      <c r="C5" s="28" t="s">
        <v>956</v>
      </c>
      <c r="D5" s="28" t="s">
        <v>52</v>
      </c>
      <c r="E5" s="28" t="s">
        <v>52</v>
      </c>
      <c r="F5" s="28" t="s">
        <v>962</v>
      </c>
      <c r="G5" s="28" t="s">
        <v>963</v>
      </c>
    </row>
    <row r="6" spans="1:7" ht="31.5" customHeight="1" x14ac:dyDescent="0.3">
      <c r="A6" s="26">
        <v>4</v>
      </c>
      <c r="B6" s="26" t="s">
        <v>964</v>
      </c>
      <c r="C6" s="26" t="s">
        <v>965</v>
      </c>
      <c r="D6" s="26" t="s">
        <v>52</v>
      </c>
      <c r="E6" s="26" t="s">
        <v>52</v>
      </c>
      <c r="F6" s="26" t="s">
        <v>966</v>
      </c>
      <c r="G6" s="26" t="s">
        <v>958</v>
      </c>
    </row>
    <row r="7" spans="1:7" ht="31.5" customHeight="1" x14ac:dyDescent="0.3">
      <c r="A7" s="27">
        <v>5</v>
      </c>
      <c r="B7" s="27" t="s">
        <v>967</v>
      </c>
      <c r="C7" s="27" t="s">
        <v>968</v>
      </c>
      <c r="D7" s="27" t="s">
        <v>53</v>
      </c>
      <c r="E7" s="27" t="s">
        <v>52</v>
      </c>
      <c r="F7" s="27" t="s">
        <v>969</v>
      </c>
      <c r="G7" s="27" t="s">
        <v>970</v>
      </c>
    </row>
    <row r="8" spans="1:7" ht="31.5" customHeight="1" x14ac:dyDescent="0.3">
      <c r="A8" s="25">
        <v>6</v>
      </c>
      <c r="B8" s="25" t="s">
        <v>971</v>
      </c>
      <c r="C8" s="25" t="s">
        <v>160</v>
      </c>
      <c r="D8" s="25" t="s">
        <v>53</v>
      </c>
      <c r="E8" s="25" t="s">
        <v>53</v>
      </c>
      <c r="F8" s="25" t="s">
        <v>972</v>
      </c>
      <c r="G8" s="25" t="s">
        <v>958</v>
      </c>
    </row>
    <row r="9" spans="1:7" ht="31.5" customHeight="1" x14ac:dyDescent="0.3">
      <c r="A9" s="29">
        <v>7</v>
      </c>
      <c r="B9" s="29" t="s">
        <v>973</v>
      </c>
      <c r="C9" s="29" t="s">
        <v>974</v>
      </c>
      <c r="D9" s="29" t="s">
        <v>53</v>
      </c>
      <c r="E9" s="29" t="s">
        <v>52</v>
      </c>
      <c r="F9" s="29" t="s">
        <v>975</v>
      </c>
      <c r="G9" s="29" t="s">
        <v>958</v>
      </c>
    </row>
    <row r="10" spans="1:7" ht="31.5" customHeight="1" x14ac:dyDescent="0.3">
      <c r="A10" s="29">
        <v>8</v>
      </c>
      <c r="B10" s="29" t="s">
        <v>976</v>
      </c>
      <c r="C10" s="29" t="s">
        <v>974</v>
      </c>
      <c r="D10" s="29" t="s">
        <v>61</v>
      </c>
      <c r="E10" s="29" t="s">
        <v>53</v>
      </c>
      <c r="F10" s="29" t="s">
        <v>977</v>
      </c>
      <c r="G10" s="29" t="s">
        <v>958</v>
      </c>
    </row>
    <row r="11" spans="1:7" ht="31.5" customHeight="1" x14ac:dyDescent="0.3">
      <c r="A11" s="30">
        <v>9</v>
      </c>
      <c r="B11" s="30" t="s">
        <v>978</v>
      </c>
      <c r="C11" s="30" t="s">
        <v>979</v>
      </c>
      <c r="D11" s="30" t="s">
        <v>980</v>
      </c>
      <c r="E11" s="30" t="s">
        <v>52</v>
      </c>
      <c r="F11" s="30" t="s">
        <v>981</v>
      </c>
      <c r="G11" s="30" t="s">
        <v>970</v>
      </c>
    </row>
    <row r="12" spans="1:7" ht="31.5" customHeight="1" x14ac:dyDescent="0.3">
      <c r="A12" s="39">
        <v>10</v>
      </c>
      <c r="B12" s="39" t="s">
        <v>982</v>
      </c>
      <c r="C12" s="39" t="s">
        <v>384</v>
      </c>
      <c r="D12" s="39" t="s">
        <v>61</v>
      </c>
      <c r="E12" s="39" t="s">
        <v>53</v>
      </c>
      <c r="F12" s="39" t="s">
        <v>983</v>
      </c>
      <c r="G12" s="39" t="s">
        <v>958</v>
      </c>
    </row>
    <row r="13" spans="1:7" ht="31.5" customHeight="1" x14ac:dyDescent="0.3">
      <c r="A13" s="52">
        <v>11</v>
      </c>
      <c r="B13" s="52" t="s">
        <v>984</v>
      </c>
      <c r="C13" s="52" t="s">
        <v>985</v>
      </c>
      <c r="D13" s="52" t="s">
        <v>52</v>
      </c>
      <c r="E13" s="52" t="s">
        <v>52</v>
      </c>
      <c r="F13" s="52" t="s">
        <v>986</v>
      </c>
      <c r="G13" s="52" t="s">
        <v>970</v>
      </c>
    </row>
    <row r="14" spans="1:7" ht="31.5" customHeight="1" x14ac:dyDescent="0.3">
      <c r="A14" s="32">
        <v>12</v>
      </c>
      <c r="B14" s="32" t="s">
        <v>987</v>
      </c>
      <c r="C14" s="32" t="s">
        <v>988</v>
      </c>
      <c r="D14" s="32" t="s">
        <v>980</v>
      </c>
      <c r="E14" s="32" t="s">
        <v>52</v>
      </c>
      <c r="F14" s="32" t="s">
        <v>989</v>
      </c>
      <c r="G14" s="32" t="s">
        <v>970</v>
      </c>
    </row>
    <row r="15" spans="1:7" ht="31.5" customHeight="1" x14ac:dyDescent="0.3">
      <c r="A15" s="40">
        <v>13</v>
      </c>
      <c r="B15" s="40" t="s">
        <v>990</v>
      </c>
      <c r="C15" s="40" t="s">
        <v>991</v>
      </c>
      <c r="D15" s="40" t="s">
        <v>53</v>
      </c>
      <c r="E15" s="40" t="s">
        <v>53</v>
      </c>
      <c r="F15" s="40" t="s">
        <v>992</v>
      </c>
      <c r="G15" s="40" t="s">
        <v>963</v>
      </c>
    </row>
    <row r="16" spans="1:7" ht="31.5" customHeight="1" x14ac:dyDescent="0.3">
      <c r="A16" s="40">
        <v>14</v>
      </c>
      <c r="B16" s="40" t="s">
        <v>993</v>
      </c>
      <c r="C16" s="40" t="s">
        <v>991</v>
      </c>
      <c r="D16" s="40" t="s">
        <v>53</v>
      </c>
      <c r="E16" s="40" t="s">
        <v>53</v>
      </c>
      <c r="F16" s="40" t="s">
        <v>994</v>
      </c>
      <c r="G16" s="40" t="s">
        <v>963</v>
      </c>
    </row>
    <row r="17" spans="1:7" ht="31.5" customHeight="1" x14ac:dyDescent="0.3">
      <c r="A17" s="53">
        <v>15</v>
      </c>
      <c r="B17" s="53" t="s">
        <v>995</v>
      </c>
      <c r="C17" s="53" t="s">
        <v>474</v>
      </c>
      <c r="D17" s="53" t="s">
        <v>980</v>
      </c>
      <c r="E17" s="53" t="s">
        <v>61</v>
      </c>
      <c r="F17" s="53" t="s">
        <v>996</v>
      </c>
      <c r="G17" s="53" t="s">
        <v>997</v>
      </c>
    </row>
    <row r="18" spans="1:7" ht="31.5" customHeight="1" x14ac:dyDescent="0.3">
      <c r="A18" s="53">
        <v>16</v>
      </c>
      <c r="B18" s="53" t="s">
        <v>998</v>
      </c>
      <c r="C18" s="53" t="s">
        <v>474</v>
      </c>
      <c r="D18" s="53" t="s">
        <v>53</v>
      </c>
      <c r="E18" s="53" t="s">
        <v>53</v>
      </c>
      <c r="F18" s="53" t="s">
        <v>999</v>
      </c>
      <c r="G18" s="53" t="s">
        <v>958</v>
      </c>
    </row>
    <row r="19" spans="1:7" ht="31.5" customHeight="1" x14ac:dyDescent="0.3">
      <c r="A19" s="26">
        <v>17</v>
      </c>
      <c r="B19" s="26" t="s">
        <v>1000</v>
      </c>
      <c r="C19" s="26" t="s">
        <v>949</v>
      </c>
      <c r="D19" s="26" t="s">
        <v>53</v>
      </c>
      <c r="E19" s="26" t="s">
        <v>53</v>
      </c>
      <c r="F19" s="26" t="s">
        <v>1001</v>
      </c>
      <c r="G19" s="26" t="s">
        <v>970</v>
      </c>
    </row>
    <row r="20" spans="1:7" ht="31.5" customHeight="1" x14ac:dyDescent="0.3">
      <c r="A20" s="26">
        <v>18</v>
      </c>
      <c r="B20" s="26" t="s">
        <v>1002</v>
      </c>
      <c r="C20" s="26" t="s">
        <v>949</v>
      </c>
      <c r="D20" s="26" t="s">
        <v>52</v>
      </c>
      <c r="E20" s="26" t="s">
        <v>53</v>
      </c>
      <c r="F20" s="26" t="s">
        <v>1003</v>
      </c>
      <c r="G20" s="26" t="s">
        <v>970</v>
      </c>
    </row>
    <row r="21" spans="1:7" ht="31.5" customHeight="1" x14ac:dyDescent="0.3">
      <c r="A21" s="26">
        <v>19</v>
      </c>
      <c r="B21" s="26" t="s">
        <v>1004</v>
      </c>
      <c r="C21" s="26" t="s">
        <v>949</v>
      </c>
      <c r="D21" s="26" t="s">
        <v>53</v>
      </c>
      <c r="E21" s="26" t="s">
        <v>52</v>
      </c>
      <c r="F21" s="26" t="s">
        <v>1005</v>
      </c>
      <c r="G21" s="26" t="s">
        <v>958</v>
      </c>
    </row>
    <row r="22" spans="1:7" ht="31.5" customHeight="1" x14ac:dyDescent="0.3">
      <c r="A22" s="39">
        <v>20</v>
      </c>
      <c r="B22" s="39" t="s">
        <v>1006</v>
      </c>
      <c r="C22" s="39" t="s">
        <v>384</v>
      </c>
      <c r="D22" s="39" t="s">
        <v>61</v>
      </c>
      <c r="E22" s="39" t="s">
        <v>61</v>
      </c>
      <c r="F22" s="39" t="s">
        <v>1007</v>
      </c>
      <c r="G22" s="39" t="s">
        <v>958</v>
      </c>
    </row>
    <row r="23" spans="1:7" ht="31.5" customHeight="1" x14ac:dyDescent="0.3">
      <c r="A23" s="39">
        <v>21</v>
      </c>
      <c r="B23" s="39" t="s">
        <v>1008</v>
      </c>
      <c r="C23" s="39" t="s">
        <v>384</v>
      </c>
      <c r="D23" s="39" t="s">
        <v>53</v>
      </c>
      <c r="E23" s="39" t="s">
        <v>53</v>
      </c>
      <c r="F23" s="39" t="s">
        <v>1009</v>
      </c>
      <c r="G23" s="39" t="s">
        <v>970</v>
      </c>
    </row>
    <row r="24" spans="1:7" ht="31.5" customHeight="1" x14ac:dyDescent="0.3">
      <c r="A24" s="36">
        <v>22</v>
      </c>
      <c r="B24" s="36" t="s">
        <v>1010</v>
      </c>
      <c r="C24" s="36" t="s">
        <v>1011</v>
      </c>
      <c r="D24" s="36" t="s">
        <v>53</v>
      </c>
      <c r="E24" s="36" t="s">
        <v>53</v>
      </c>
      <c r="F24" s="36" t="s">
        <v>1012</v>
      </c>
      <c r="G24" s="36" t="s">
        <v>970</v>
      </c>
    </row>
  </sheetData>
  <autoFilter ref="A2:G24" xr:uid="{00000000-0009-0000-0000-00000B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 Summary</vt:lpstr>
      <vt:lpstr>📅 30-Day Tracker</vt:lpstr>
      <vt:lpstr>📆 Weekly Overview</vt:lpstr>
      <vt:lpstr>📚 Learning Plan</vt:lpstr>
      <vt:lpstr>🛠 Tech Stack</vt:lpstr>
      <vt:lpstr>🗄 DB Schema</vt:lpstr>
      <vt:lpstr>🔌 API Reference</vt:lpstr>
      <vt:lpstr>🧪 Testing Checklist</vt:lpstr>
      <vt:lpstr>🚀 Deployment</vt:lpstr>
      <vt:lpstr>⏱ Time Log</vt:lpstr>
      <vt:lpstr>⚠️ Risk &amp; Fallback</vt:lpstr>
      <vt:lpstr>🔮 Deferred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Abdul</cp:lastModifiedBy>
  <cp:revision>0</cp:revision>
  <dcterms:created xsi:type="dcterms:W3CDTF">2026-06-09T06:14:40Z</dcterms:created>
  <dcterms:modified xsi:type="dcterms:W3CDTF">2026-06-25T11:34:08Z</dcterms:modified>
  <dc:language>en-US</dc:language>
</cp:coreProperties>
</file>